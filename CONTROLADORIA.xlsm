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I:\CONTROLLER\Relatorios CONTROLLER\"/>
    </mc:Choice>
  </mc:AlternateContent>
  <xr:revisionPtr revIDLastSave="0" documentId="13_ncr:1_{2A78BCE2-CA0D-43BD-85B4-0BCD2375E3C0}" xr6:coauthVersionLast="47" xr6:coauthVersionMax="47" xr10:uidLastSave="{00000000-0000-0000-0000-000000000000}"/>
  <bookViews>
    <workbookView xWindow="-120" yWindow="-120" windowWidth="29040" windowHeight="15720" activeTab="1" xr2:uid="{7A715B8E-F0C9-4A5A-809D-810C31B6C167}"/>
  </bookViews>
  <sheets>
    <sheet name="Mural" sheetId="1" r:id="rId1"/>
    <sheet name="Tarefas" sheetId="2" r:id="rId2"/>
    <sheet name="Em Andamento" sheetId="3" r:id="rId3"/>
    <sheet name="Concluídas" sheetId="4" r:id="rId4"/>
    <sheet name="Gráfico" sheetId="5" r:id="rId5"/>
  </sheets>
  <definedNames>
    <definedName name="_xlcn.WorksheetConnection_CONTROLADORIA.xlsmTabela_Meses" hidden="1">Tabela_Meses[]</definedName>
    <definedName name="SegmentaçãodeDados_MESES">#N/A</definedName>
    <definedName name="SegmentaçãodeDados_MESES1">#N/A</definedName>
  </definedNames>
  <calcPr calcId="181029"/>
  <pivotCaches>
    <pivotCache cacheId="411" r:id="rId6"/>
    <pivotCache cacheId="421" r:id="rId7"/>
  </pivotCaches>
  <extLst>
    <ext xmlns:x14="http://schemas.microsoft.com/office/spreadsheetml/2009/9/main" uri="{876F7934-8845-4945-9796-88D515C7AA90}">
      <x14:pivotCaches>
        <pivotCache cacheId="410" r:id="rId8"/>
        <pivotCache cacheId="414" r:id="rId9"/>
      </x14:pivotCaches>
    </ext>
    <ext xmlns:x14="http://schemas.microsoft.com/office/spreadsheetml/2009/9/main" uri="{BBE1A952-AA13-448e-AADC-164F8A28A991}">
      <x14:slicerCaches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_Meses" name="Tabela_Meses" connection="WorksheetConnection_CONTROLADORIA.xlsm!Tabela_Meses"/>
        </x15:modelTables>
      </x15:dataModel>
    </ext>
  </extLst>
</workbook>
</file>

<file path=xl/calcChain.xml><?xml version="1.0" encoding="utf-8"?>
<calcChain xmlns="http://schemas.openxmlformats.org/spreadsheetml/2006/main">
  <c r="E71" i="2" l="1"/>
  <c r="I71" i="2"/>
  <c r="E30" i="4"/>
  <c r="L30" i="4"/>
  <c r="E15" i="3"/>
  <c r="E70" i="2"/>
  <c r="I70" i="2"/>
  <c r="E29" i="4"/>
  <c r="L29" i="4"/>
  <c r="E69" i="2"/>
  <c r="I69" i="2"/>
  <c r="E68" i="2"/>
  <c r="I68" i="2"/>
  <c r="E67" i="2"/>
  <c r="I67" i="2"/>
  <c r="E66" i="2"/>
  <c r="I66" i="2"/>
  <c r="E65" i="2"/>
  <c r="I65" i="2"/>
  <c r="E64" i="2"/>
  <c r="I64" i="2"/>
  <c r="E63" i="2"/>
  <c r="I63" i="2"/>
  <c r="E62" i="2"/>
  <c r="I62" i="2"/>
  <c r="E61" i="2"/>
  <c r="I61" i="2"/>
  <c r="E60" i="2"/>
  <c r="I60" i="2"/>
  <c r="E59" i="2"/>
  <c r="I59" i="2"/>
  <c r="E58" i="2"/>
  <c r="I58" i="2"/>
  <c r="E57" i="2"/>
  <c r="I57" i="2"/>
  <c r="E56" i="2"/>
  <c r="I56" i="2"/>
  <c r="E55" i="2"/>
  <c r="I55" i="2"/>
  <c r="E14" i="3"/>
  <c r="E13" i="3"/>
  <c r="E54" i="2"/>
  <c r="I54" i="2"/>
  <c r="E28" i="4"/>
  <c r="L28" i="4"/>
  <c r="E53" i="2"/>
  <c r="I53" i="2"/>
  <c r="E27" i="4"/>
  <c r="L27" i="4"/>
  <c r="E26" i="4"/>
  <c r="L26" i="4"/>
  <c r="E52" i="2"/>
  <c r="I52" i="2"/>
  <c r="E25" i="4"/>
  <c r="L25" i="4"/>
  <c r="E51" i="2"/>
  <c r="I51" i="2"/>
  <c r="E24" i="4"/>
  <c r="L24" i="4"/>
  <c r="E50" i="2"/>
  <c r="I50" i="2"/>
  <c r="E49" i="2"/>
  <c r="I49" i="2"/>
  <c r="E23" i="4"/>
  <c r="L23" i="4"/>
  <c r="E48" i="2"/>
  <c r="I48" i="2"/>
  <c r="E22" i="4"/>
  <c r="L22" i="4"/>
  <c r="E47" i="2"/>
  <c r="I47" i="2"/>
  <c r="E21" i="4"/>
  <c r="L21" i="4"/>
  <c r="E46" i="2"/>
  <c r="I46" i="2"/>
  <c r="E20" i="4"/>
  <c r="L20" i="4"/>
  <c r="E19" i="4"/>
  <c r="L19" i="4"/>
  <c r="E18" i="4"/>
  <c r="L18" i="4"/>
  <c r="E5" i="3"/>
  <c r="E4" i="3"/>
  <c r="E45" i="2"/>
  <c r="I45" i="2"/>
  <c r="E17" i="4"/>
  <c r="L17" i="4"/>
  <c r="E44" i="2"/>
  <c r="I44" i="2"/>
  <c r="E16" i="4"/>
  <c r="L16" i="4"/>
  <c r="E15" i="4"/>
  <c r="L15" i="4"/>
  <c r="E14" i="4"/>
  <c r="L14" i="4"/>
  <c r="E13" i="4"/>
  <c r="L13" i="4"/>
  <c r="E3" i="3"/>
  <c r="E12" i="4"/>
  <c r="L12" i="4"/>
  <c r="E11" i="4"/>
  <c r="L11" i="4"/>
  <c r="E10" i="4"/>
  <c r="L10" i="4"/>
  <c r="E43" i="2"/>
  <c r="I43" i="2"/>
  <c r="E9" i="4"/>
  <c r="L9" i="4"/>
  <c r="E42" i="2" l="1"/>
  <c r="I42" i="2"/>
  <c r="E8" i="4"/>
  <c r="L8" i="4"/>
  <c r="E7" i="4"/>
  <c r="L7" i="4"/>
  <c r="E6" i="4"/>
  <c r="L6" i="4"/>
  <c r="E41" i="2"/>
  <c r="I41" i="2"/>
  <c r="T4" i="5"/>
  <c r="U4" i="5"/>
  <c r="V4" i="5"/>
  <c r="W4" i="5"/>
  <c r="S4" i="5"/>
  <c r="E5" i="4"/>
  <c r="L5" i="4"/>
  <c r="E2" i="3"/>
  <c r="L3" i="4"/>
  <c r="L4" i="4"/>
  <c r="L2" i="4"/>
  <c r="E4" i="4"/>
  <c r="E3" i="4"/>
  <c r="H4" i="5"/>
  <c r="F4" i="5"/>
  <c r="G4" i="5"/>
  <c r="E4" i="5"/>
  <c r="D4" i="5"/>
  <c r="E2" i="4"/>
  <c r="I3" i="2"/>
  <c r="I2" i="2"/>
  <c r="E40" i="2"/>
  <c r="I40" i="2"/>
  <c r="E39" i="2"/>
  <c r="I39" i="2"/>
  <c r="E38" i="2"/>
  <c r="I38" i="2"/>
  <c r="E37" i="2"/>
  <c r="I37" i="2"/>
  <c r="E36" i="2"/>
  <c r="I36" i="2"/>
  <c r="E35" i="2"/>
  <c r="I35" i="2"/>
  <c r="E34" i="2"/>
  <c r="I34" i="2"/>
  <c r="E33" i="2"/>
  <c r="I33" i="2"/>
  <c r="E32" i="2"/>
  <c r="I32" i="2"/>
  <c r="E31" i="2"/>
  <c r="I31" i="2"/>
  <c r="E30" i="2"/>
  <c r="I30" i="2"/>
  <c r="E29" i="2"/>
  <c r="I29" i="2"/>
  <c r="E28" i="2"/>
  <c r="I28" i="2"/>
  <c r="E27" i="2"/>
  <c r="I27" i="2"/>
  <c r="E26" i="2"/>
  <c r="I26" i="2"/>
  <c r="E25" i="2"/>
  <c r="I25" i="2"/>
  <c r="E24" i="2"/>
  <c r="I24" i="2"/>
  <c r="E23" i="2"/>
  <c r="I23" i="2"/>
  <c r="E22" i="2"/>
  <c r="I22" i="2"/>
  <c r="E21" i="2"/>
  <c r="I21" i="2"/>
  <c r="E20" i="2"/>
  <c r="I20" i="2"/>
  <c r="E19" i="2"/>
  <c r="I19" i="2"/>
  <c r="E18" i="2"/>
  <c r="I18" i="2"/>
  <c r="E17" i="2"/>
  <c r="I17" i="2"/>
  <c r="E16" i="2"/>
  <c r="I16" i="2"/>
  <c r="E15" i="2"/>
  <c r="I15" i="2"/>
  <c r="E14" i="2"/>
  <c r="I14" i="2"/>
  <c r="E13" i="2"/>
  <c r="I13" i="2"/>
  <c r="E12" i="2"/>
  <c r="I12" i="2"/>
  <c r="E11" i="2"/>
  <c r="I11" i="2"/>
  <c r="E10" i="2"/>
  <c r="I10" i="2"/>
  <c r="E9" i="2"/>
  <c r="I9" i="2"/>
  <c r="E8" i="2"/>
  <c r="I8" i="2"/>
  <c r="E7" i="2"/>
  <c r="I7" i="2"/>
  <c r="E6" i="2"/>
  <c r="I6" i="2"/>
  <c r="E5" i="2"/>
  <c r="I5" i="2"/>
  <c r="E4" i="2"/>
  <c r="I4" i="2"/>
  <c r="E3" i="2"/>
  <c r="E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9CE872-22A5-489A-B933-68BBCEA5E122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3E5B4C4-6374-4190-A98D-84FD35BDFAB0}" name="WorksheetConnection_CONTROLADORIA.xlsm!Tabela_Meses" type="102" refreshedVersion="8" minRefreshableVersion="5">
    <extLst>
      <ext xmlns:x15="http://schemas.microsoft.com/office/spreadsheetml/2010/11/main" uri="{DE250136-89BD-433C-8126-D09CA5730AF9}">
        <x15:connection id="Tabela_Meses" autoDelete="1">
          <x15:rangePr sourceName="_xlcn.WorksheetConnection_CONTROLADORIA.xlsmTabela_Meses"/>
        </x15:connection>
      </ext>
    </extLst>
  </connection>
</connections>
</file>

<file path=xl/sharedStrings.xml><?xml version="1.0" encoding="utf-8"?>
<sst xmlns="http://schemas.openxmlformats.org/spreadsheetml/2006/main" count="807" uniqueCount="214">
  <si>
    <t>DATA DE CRIAÇÃO</t>
  </si>
  <si>
    <t>TAREFA</t>
  </si>
  <si>
    <t>DESCRIÇÃO</t>
  </si>
  <si>
    <t>STATUS</t>
  </si>
  <si>
    <t>REPETIR</t>
  </si>
  <si>
    <t>ID TAREFA</t>
  </si>
  <si>
    <t>RESPONSÁVEL</t>
  </si>
  <si>
    <t>IVANA</t>
  </si>
  <si>
    <t>NÃO</t>
  </si>
  <si>
    <t>PRIORIDADE</t>
  </si>
  <si>
    <t>MÊS</t>
  </si>
  <si>
    <t>MESES</t>
  </si>
  <si>
    <t>01 - JANEIRO</t>
  </si>
  <si>
    <t>02 - FEVEREIRO</t>
  </si>
  <si>
    <t>03 - MARÇO</t>
  </si>
  <si>
    <t>04 - ABRIL</t>
  </si>
  <si>
    <t>05 - MAIO</t>
  </si>
  <si>
    <t>06 - JUNHO</t>
  </si>
  <si>
    <t>07 - JULHO</t>
  </si>
  <si>
    <t>08 - AGOSTO</t>
  </si>
  <si>
    <t>09 - SETEMBRO</t>
  </si>
  <si>
    <t>10 - OUTUBRO</t>
  </si>
  <si>
    <t>11 - NOVEMBRO</t>
  </si>
  <si>
    <t>12 - DEZEMBRO</t>
  </si>
  <si>
    <t>Rótulos de Linha</t>
  </si>
  <si>
    <t>DATA DE CONCLUSÃO</t>
  </si>
  <si>
    <t>JEAN</t>
  </si>
  <si>
    <t>SIM</t>
  </si>
  <si>
    <t>BAIXA</t>
  </si>
  <si>
    <t>NORMAL</t>
  </si>
  <si>
    <t>ALTA</t>
  </si>
  <si>
    <t>APÓLICE PLACAS SOLARES</t>
  </si>
  <si>
    <t>COBRAR APÓLICE DAS PLACAS SOLARES COM O CÉSAR</t>
  </si>
  <si>
    <t>APÓLICE SEGURO PRESTAMISTA</t>
  </si>
  <si>
    <t>COBRAR O FERNANDO SOBRE O AUMENTO DOS VALORES DA APÓLICE DA IANCO (PRESTAMISTA)</t>
  </si>
  <si>
    <t>APÓLICE DE SEGUROS DA RUMO</t>
  </si>
  <si>
    <t>COBRAR APÓLICE DA RUMO (LUCAS)</t>
  </si>
  <si>
    <t>LEVANTAMENTO DE CUSTOS MANUTENÇÃO</t>
  </si>
  <si>
    <t>LEVANTAMENTO DE CUSTOS DE MANUTENÇÃO DAS MÁQUINAS 2024/2025</t>
  </si>
  <si>
    <t>LEVANTAR CUSTOS DO SESI</t>
  </si>
  <si>
    <t>LEVANTAR CUSTOS DO SESI 2024/2025 (ASO, CONSULTAS, EXAMES AVULSOS)</t>
  </si>
  <si>
    <t>COTAÇÕES MUDAR SESI</t>
  </si>
  <si>
    <t>FAZER COTAÇÕES PARA SUBSTITUIR SESI (IMTEP, INTEGRAL, INOVAMED)</t>
  </si>
  <si>
    <t>COTAÇÕES MUDAR ECCOSALVA</t>
  </si>
  <si>
    <t>FAZER COTAÇÕES PARA SUBSTITUIR ECCOSALVA (VERIFICAR OCORRÊNCIAS, LOGIN, SENHA)</t>
  </si>
  <si>
    <t>CANCELAMENTO PREVIDÊNCIA JOVANO</t>
  </si>
  <si>
    <t>CONFIRMAR SE O JOVANO RECEBEU O VALOR DO RESGATE DA PREVIDÊNCIA BRADESCO</t>
  </si>
  <si>
    <t>CADASTRO IANCO BNDES</t>
  </si>
  <si>
    <t>TENTAR SE CADASTRAR NO BNDES (IANCO)</t>
  </si>
  <si>
    <t>FECHAR CONSULTORIA FINANCEIRO</t>
  </si>
  <si>
    <t>CONFIRMAR COM FERNANDO E MICHELLE A CONTRATAÇÃO DE CONSULTORIA (BERRY)</t>
  </si>
  <si>
    <t>CADASTRO IBGE</t>
  </si>
  <si>
    <t>APLICATIVO RH</t>
  </si>
  <si>
    <t>ELABORAR APLICATIVO DO RH</t>
  </si>
  <si>
    <t>CARTA DO SINDICATO</t>
  </si>
  <si>
    <t>CONFIRMAR COM ALICE E FERNANDA SOBRE A CARTA DE OPOSIÇÃO DO DESCONTO SINDICAL</t>
  </si>
  <si>
    <t>ACOMPANHAR CNDs</t>
  </si>
  <si>
    <t>ATUALIZAR AS CERTIDÕES NEGATIVAS E VERIFICAR PENDÊNCIAS</t>
  </si>
  <si>
    <t>DECLARAÇÃO DE FATURAMENTO</t>
  </si>
  <si>
    <t>SOLICITAR DECLARAÇÃO DE FATURAMENTO DAS EMPRESAS ASSINADAS PELAS CONTABILIDIADES</t>
  </si>
  <si>
    <t>DESCRIÇÃO DE CARGO (TAYNÁ)</t>
  </si>
  <si>
    <t>CONFIRMAR ATIVIDADES REALIZADAS PELA COLABORADORA TAYNÁ</t>
  </si>
  <si>
    <t>DESCRIÇÃO DE CARGO (ALICE)</t>
  </si>
  <si>
    <t>CONFIRMAR ATIVIDADES REALIZADAS PELA COLABORADORA ALICE</t>
  </si>
  <si>
    <t>FOTO DOS COLABORADORES (RH)</t>
  </si>
  <si>
    <t xml:space="preserve">SOLICITAR ATUALIZAÇÃO DAS FOTOS DOS COLABORADORES PARA A ALICE </t>
  </si>
  <si>
    <t>VACINAS</t>
  </si>
  <si>
    <t>ACOMPANHAR JUNTO Á ALICE SOBRE A CAMPANHA DE VACINAÇÃO</t>
  </si>
  <si>
    <t>CURSO LEITURA DE NOTA FISCAL</t>
  </si>
  <si>
    <t>CONVERSAR COM PESSOAL INTERESSADO SOBRE CURSO DE LEITURA DE NOTA FISCAL</t>
  </si>
  <si>
    <t>DESCRIÇÃO DE CARGO (VERÔNICA)</t>
  </si>
  <si>
    <t>CONFIRMAR ATIVIDADES REALIZADAS PELA COLABORADORA VERÔNICA</t>
  </si>
  <si>
    <t>VIAGEM ADEMAR (GUGA)</t>
  </si>
  <si>
    <t>VER TODA A PASSAGEM E HOSPEDAGEM DA VIAGEM DO GUGA PARA FOZ DO IGUAÇU</t>
  </si>
  <si>
    <t>MEIO AMBIENTE</t>
  </si>
  <si>
    <t>TRATAR COM O GILBERTO SOBRE OS ASSUNTOS REFERENTES AO MEIO AMBIENTE</t>
  </si>
  <si>
    <t>CORPO DE BOMBEIROS</t>
  </si>
  <si>
    <t>TRATAR COM O GILBERTO SOBRE OS ASSUNTOS REFERENTES AO CORPO DE BOMBEIROS</t>
  </si>
  <si>
    <t>SALA DE JOGOS</t>
  </si>
  <si>
    <t>TRATAR COM O GILBERTO SOBRE A ORGANIZAÇÃO DA SALA DE JOGOS</t>
  </si>
  <si>
    <t>FOSSA</t>
  </si>
  <si>
    <t>FAZER PROJETO COM DADOS (TAMANHO, CUBAGEM) E ARQUIVAR NA PASTA DE MEIO AMBIENTE</t>
  </si>
  <si>
    <t>CONTRATO TELEFONIA</t>
  </si>
  <si>
    <t>VERIFICAR COM O VICTOR (TI) SOBRE ALTERAR O CONTRATO DA SERCOMTEL PARA O CNPJ DA USIFIX MATRIZ</t>
  </si>
  <si>
    <t>CADASTRO FORNECEDOR</t>
  </si>
  <si>
    <t>VERIFICAR CADASTRO DE FORNECEDOR SOLICITADO PELO RONNÃ NO E-MAIL</t>
  </si>
  <si>
    <t>REUNIÃO SEGURANÇA</t>
  </si>
  <si>
    <t>REUNIÃO COM CARLA (VERUS) E FERNANDO</t>
  </si>
  <si>
    <t>REUNIÃO CONTABILIDADE</t>
  </si>
  <si>
    <t>REUNIÃO COM O EDUARDO PARA ESCLARECIMENTOS SOBRE O BALANÇA PATRIMONIAL E DRE DA IANCO</t>
  </si>
  <si>
    <t>REUNIÃO ADMINISTRATIVO</t>
  </si>
  <si>
    <t>REUNIÃO MENSAL COM O ADMINISTRATIVO E DIRETORIA</t>
  </si>
  <si>
    <t>REUNIÃO RH / CONTROLADORIA / SEGURANÇA</t>
  </si>
  <si>
    <t>REUNIÃO MENSAL COM A DIRETORIA REFERENTE ASSUNTOS DE RH E SEGURANÇA</t>
  </si>
  <si>
    <t>REUNIÃO INDICADORES</t>
  </si>
  <si>
    <t>REUNIÃO MENSAL DO SETOR PARA APRESENTAR NA REUNIÃO DO ADMINISTRATIVO</t>
  </si>
  <si>
    <t>STORYTELING 2024</t>
  </si>
  <si>
    <t>STORYTELING 2025</t>
  </si>
  <si>
    <t>TERMINAR O STORYTELING DOS RELATÓRIOS DO ANO DE 2024</t>
  </si>
  <si>
    <t>MONTAR O STORYTELING REFERENTE AO ANO DE 2025</t>
  </si>
  <si>
    <t>PASTA FÍSICA RUMO</t>
  </si>
  <si>
    <t>IMPRIMIR DOCUMENTOS E FAZER UMA PASTA FÍSICA REFERENTE AOS DOCUMENTOS DA RUMO</t>
  </si>
  <si>
    <t>SG3</t>
  </si>
  <si>
    <t>CARREGAMENTO DE DOCUMENTOS OP 73860</t>
  </si>
  <si>
    <t>COMPRAS REFEITÓRIO</t>
  </si>
  <si>
    <t>COMPRAR AZEITE, SAL, PIMENTA E VINAGRE PARA DISPONIBILIZAR NO REFEITÓRIO</t>
  </si>
  <si>
    <t>KIT DIA DAS MÃES</t>
  </si>
  <si>
    <t>VERIFICAR COM ELLEN SOBRE O KIT DO DIA DAS MÃES (VELAS E BOMBONS)</t>
  </si>
  <si>
    <t>SIPAT</t>
  </si>
  <si>
    <t>VER SOBRE A SIPAT</t>
  </si>
  <si>
    <t>RAMAIS</t>
  </si>
  <si>
    <t>VERIFICAR COM O VICTOR SOBRE OS RAMAIS DA EMPRESA</t>
  </si>
  <si>
    <t>CERTIFICADO DIGITAL (SANTA ROSA)</t>
  </si>
  <si>
    <t>RENOVAR CERTIFICADO DIGITAL DA EMPRESA SANTA ROSA E ENVIAR PARA A CONTABILIDADE</t>
  </si>
  <si>
    <t>TOALHAS DE MESA (REFEITÓRIO)</t>
  </si>
  <si>
    <t>COTAR E COMPRAR TOALHAS DE MESA PARA AS MESAS DO REFEITÓRIO</t>
  </si>
  <si>
    <t>HOTEL VIAGEM FERNANDO E EDUARDO</t>
  </si>
  <si>
    <t>COTAR E FECHAR HOTEL PARA VIAGEM DO FERNANDO E EDUARDO (LOBO) PARA O ESTADO DE SP</t>
  </si>
  <si>
    <t>VIAGEM RUMO</t>
  </si>
  <si>
    <t>CONFIRMAR DATA DA VIAGEM PARA VISITA NA RUMO E FECHAR CARRO E HOTEL</t>
  </si>
  <si>
    <t>MARCAS VITI, RUMO E IANCO</t>
  </si>
  <si>
    <t>VERIFICAR COMO SERÁ FEITO COM AS MARCAS DA VITI, RUMO E IANCO</t>
  </si>
  <si>
    <t>TRANSFERIR ENERGIA ELÉTRICA</t>
  </si>
  <si>
    <t>TRANSFERIR A CONTA DE ENERGIA ELÉTRICA PARA O PROFESSOR DE JUDÔ</t>
  </si>
  <si>
    <t>RELATÓRIO FINANCEIRO</t>
  </si>
  <si>
    <t>ENVIAR DIARIAMENTE RELATÓRIOS FINANCEIROS PARA A DIRETORIA</t>
  </si>
  <si>
    <t>RELATÓRIO RH GERAL</t>
  </si>
  <si>
    <t>PEGAR VALORES DA CONTABILIDADE E PREENCHER RELATÓRIO MENSAL DO RH</t>
  </si>
  <si>
    <t>RELATÓRIO IANCO</t>
  </si>
  <si>
    <t>RELATÓRIO RUMO</t>
  </si>
  <si>
    <t>RELATÓRIO METALPAR</t>
  </si>
  <si>
    <t>RELATÓRIO VITI</t>
  </si>
  <si>
    <t>PEGAR VALORES DO SISTEMA E ATUALZIAR O RELATÓRIO MENSALMENTE</t>
  </si>
  <si>
    <t>AGUARDAR ENVIO DAS INFORMAÇÕES PARA ATUALIZAR O RELATÓRIO MENSALMENTE</t>
  </si>
  <si>
    <t>PENDÊNCIAS/PAGAMENTOS RUMO</t>
  </si>
  <si>
    <t>GUIAS DOS IMPOSTOS FATURAMENTOS</t>
  </si>
  <si>
    <t>AGUARDAR CONTABILIDADES ENVIAREM AS GUIAS DOS IMPOSTOS, CONFERIR VALORES E ENVIAR PARA O SETOR FINANCEIRO</t>
  </si>
  <si>
    <t>GUIAS DOS IMPOSTOS FOLHA DE PAGAMENTO</t>
  </si>
  <si>
    <t>CONFERÊNCIA FOLHA DE PAGAMENTOS</t>
  </si>
  <si>
    <t>AGUARDAR LANÇAMENTOS DO RH E CONFERIR HOLERITES ANTES DE FECHAR AS FOLHAS</t>
  </si>
  <si>
    <t>CONSIGNADOS</t>
  </si>
  <si>
    <t>ATUALIZAR PLANILHA DE CONTRATOS DE CONSIGNADOS E ENVIAR INFORMAÇÕES PARA AS CONTABILIDADES</t>
  </si>
  <si>
    <t>LUCRO REAL</t>
  </si>
  <si>
    <t>COTAR PLANEJAMENTO JUNTO Á OUTRAS CONTABILIDADES PARA VIABILIZAR A MUDANÇA NO PLANO TRIBUÁRIO DA IANCO</t>
  </si>
  <si>
    <t>REFORMA TRIBUTÁRIA</t>
  </si>
  <si>
    <t>ESTUDAR SOBRE AS MUDANÇAS E OS IMPACTOS GERADOS PELA REFORMA TRIBUTÁRIA</t>
  </si>
  <si>
    <t>SETOR</t>
  </si>
  <si>
    <t>Concluídas</t>
  </si>
  <si>
    <t>MÊS2</t>
  </si>
  <si>
    <t>OBSERVAÇÕES</t>
  </si>
  <si>
    <t>DIAS PARA CONCLUSÃO</t>
  </si>
  <si>
    <t xml:space="preserve"> </t>
  </si>
  <si>
    <t>RH</t>
  </si>
  <si>
    <t>DIRETORIA</t>
  </si>
  <si>
    <t>Em Andamento</t>
  </si>
  <si>
    <t>Total de Tarefas</t>
  </si>
  <si>
    <t>Soma de Concluídas</t>
  </si>
  <si>
    <t>Média Dias para Conclusão</t>
  </si>
  <si>
    <t>Á Realizar</t>
  </si>
  <si>
    <t>Soma de Á Realizar</t>
  </si>
  <si>
    <t>Soma de Em Andamento</t>
  </si>
  <si>
    <t>Soma de Média Dias para Conclusão</t>
  </si>
  <si>
    <t>Soma de Total de Tarefas</t>
  </si>
  <si>
    <t>REPLICADA</t>
  </si>
  <si>
    <t>ARQUIVAR ATESTADOS</t>
  </si>
  <si>
    <t>ARQUIVAR ATESTADOS NAS PASTAS DOS COLABORADORES</t>
  </si>
  <si>
    <t>CONTROLADORIA</t>
  </si>
  <si>
    <t>FINANCEIRO</t>
  </si>
  <si>
    <t>ENDIVIDAMENTO (IMPOSTOS)</t>
  </si>
  <si>
    <t>VERIFICAR VALOR DAS GUIAS DOS PARCELAMENTOS DE IMPOSTOS DAS EMPRESAS</t>
  </si>
  <si>
    <t>TRANSFERIR COLABORADORES PARA USIFIX MATRIZ</t>
  </si>
  <si>
    <t>TRANSFERIR COLABORADORES DA FILIAL PARA A MATRIZ MENSALMENTE (PREFERENCIALMENTE A´TE O MÊS DE NOVEMBRO)</t>
  </si>
  <si>
    <t>JÁ SOLICITADO PARA A CONTABILIDADE</t>
  </si>
  <si>
    <t>CONFERIR RELATÓRIO FISCAL DO E-CAC</t>
  </si>
  <si>
    <t>CONSULTAR RELATÓRIOS FISCAIS DO E-CAC E, CASO PRECISAR, VERIFICAR A RESOLUÇÃO DAS PENDÊNCIAS COM AS CONTABILIDADES</t>
  </si>
  <si>
    <t>RELATÓRIOS DOMÍNIO</t>
  </si>
  <si>
    <t>GERAR RELATÓRIOS DO SISTEMA DOMÍNIO E SALVAR NAS PASTAS DAS EMPRESAS</t>
  </si>
  <si>
    <t>NÃO EXISTIA SEGURO DAS PLACAS</t>
  </si>
  <si>
    <t>SEGURO FOI FEITO CONFORME COBERTURAS QUE ESTAVAM, AGUARDANDO ADENDO DE NOVA COBERTURA</t>
  </si>
  <si>
    <t>IBGE USIFIX</t>
  </si>
  <si>
    <t>IBGE IANCO</t>
  </si>
  <si>
    <t>OK , JÁ CARREGADA NO SISTEMA DA RUMO</t>
  </si>
  <si>
    <t xml:space="preserve">COTAÇOES OK, </t>
  </si>
  <si>
    <t>ATUALIZAR HORA/HOMEM</t>
  </si>
  <si>
    <t>ATUALIZAR HORA/HOMEM NO SISTEMA IANCO APÓS O FECHAMENTO DO RELATÓRIO DO RH</t>
  </si>
  <si>
    <t>ENVIAR DIARIAMENTE</t>
  </si>
  <si>
    <t>HOMOLOGAÇÃO SITE ARIBA USIFIX</t>
  </si>
  <si>
    <t xml:space="preserve">ATÉ DIA </t>
  </si>
  <si>
    <t>RENOVAÇÃO SEGUROS FROTA</t>
  </si>
  <si>
    <t>LIANA CORRETORA</t>
  </si>
  <si>
    <t>REUNIAO VERUS PSICOSSOCIAL</t>
  </si>
  <si>
    <t>PRORROGAÇÃO DE DATA P OBRIGATORIO 05/2025</t>
  </si>
  <si>
    <t>COMPRA BOMBOM RH CAMAPANHA</t>
  </si>
  <si>
    <t>NAIARA - KLM -DOC. RUMO</t>
  </si>
  <si>
    <t>REUNIAO CARLA TECNICA DE SEGURANÇA</t>
  </si>
  <si>
    <t>ENTENDER OS RELATORIOS ENVIADOS MENSALMENTE</t>
  </si>
  <si>
    <t>REUNIÃO SERGIO VERUS</t>
  </si>
  <si>
    <t xml:space="preserve">ENTENDER ORÇAMENTO </t>
  </si>
  <si>
    <t>CADASTRO CLIENTE RONNÃ</t>
  </si>
  <si>
    <t>TERMINAR O CADASTRO</t>
  </si>
  <si>
    <t>REUNIAO SESI - IANCO</t>
  </si>
  <si>
    <t>ENTENDER O QUE TEMOS DE SERVIÇOS CONTRATADOS E O QUE ESTA VIGENTE</t>
  </si>
  <si>
    <t>CONFERENCIA DOS DOC. NO SG3 RUMO</t>
  </si>
  <si>
    <t xml:space="preserve">DIR DOC. APODENTADORIA GUGA </t>
  </si>
  <si>
    <t>EDUARDO CONTADOR</t>
  </si>
  <si>
    <t>DEVEC USIFIX</t>
  </si>
  <si>
    <t>PREENCHER A DEVEC ATE DIA 12 DE CADA MES</t>
  </si>
  <si>
    <t xml:space="preserve">TROCA DE TITULARIDADE SERCONTEL </t>
  </si>
  <si>
    <t>ANCO PARA USIFIX - VICTOR</t>
  </si>
  <si>
    <t xml:space="preserve">PEDIR PARA JEAN </t>
  </si>
  <si>
    <t>TROCAR COLABORADORES DA USIFIX FILIAL P USIFIX MATRIZ</t>
  </si>
  <si>
    <t>CONTATO CONTABILIDADES</t>
  </si>
  <si>
    <t>RESPODENDO DUVIDAS , E INFOMAÇOES REF. CERTICADOS</t>
  </si>
  <si>
    <t>AGUARDANDO INFORMAÇÕES SOBRE PRODUÇÃO, INFORMAÇÕES DO SISTEMA 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</si>
</sst>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d/yyyy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vertical="center" wrapText="1"/>
    </xf>
    <xf numFmtId="0" fontId="3" fillId="3" borderId="0" xfId="0" applyFont="1" applyFill="1" applyAlignment="1">
      <alignment vertical="center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49" fontId="4" fillId="0" borderId="0" xfId="0" quotePrefix="1" applyNumberFormat="1" applyFont="1" applyAlignment="1">
      <alignment horizontal="center"/>
    </xf>
    <xf numFmtId="49" fontId="4" fillId="0" borderId="0" xfId="0" quotePrefix="1" applyNumberFormat="1" applyFont="1"/>
    <xf numFmtId="49" fontId="4" fillId="0" borderId="0" xfId="0" applyNumberFormat="1" applyFont="1"/>
    <xf numFmtId="0" fontId="4" fillId="0" borderId="0" xfId="0" applyFont="1" applyAlignment="1">
      <alignment horizontal="center"/>
    </xf>
    <xf numFmtId="0" fontId="4" fillId="0" borderId="0" xfId="0" applyFont="1"/>
    <xf numFmtId="0" fontId="4" fillId="0" borderId="0" xfId="0" quotePrefix="1" applyFont="1"/>
    <xf numFmtId="14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vertical="center" wrapText="1"/>
    </xf>
    <xf numFmtId="14" fontId="0" fillId="2" borderId="0" xfId="0" applyNumberFormat="1" applyFill="1" applyAlignment="1">
      <alignment vertical="center"/>
    </xf>
    <xf numFmtId="0" fontId="0" fillId="3" borderId="0" xfId="0" applyFill="1" applyAlignment="1">
      <alignment vertical="center"/>
    </xf>
    <xf numFmtId="0" fontId="4" fillId="0" borderId="0" xfId="0" applyFont="1" applyAlignment="1">
      <alignment horizontal="left"/>
    </xf>
    <xf numFmtId="0" fontId="0" fillId="4" borderId="0" xfId="0" applyFill="1"/>
    <xf numFmtId="49" fontId="0" fillId="4" borderId="0" xfId="0" applyNumberFormat="1" applyFill="1"/>
    <xf numFmtId="0" fontId="6" fillId="5" borderId="0" xfId="0" applyFont="1" applyFill="1"/>
    <xf numFmtId="49" fontId="6" fillId="5" borderId="0" xfId="0" applyNumberFormat="1" applyFont="1" applyFill="1"/>
    <xf numFmtId="0" fontId="0" fillId="6" borderId="0" xfId="0" applyFill="1"/>
    <xf numFmtId="164" fontId="0" fillId="0" borderId="1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/>
    <xf numFmtId="0" fontId="6" fillId="5" borderId="0" xfId="0" applyNumberFormat="1" applyFont="1" applyFill="1"/>
  </cellXfs>
  <cellStyles count="1">
    <cellStyle name="Normal" xfId="0" builtinId="0"/>
  </cellStyles>
  <dxfs count="48"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color theme="9"/>
      </font>
    </dxf>
    <dxf>
      <font>
        <color theme="9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4" formatCode="m/d/yyyy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color theme="1"/>
      </font>
      <fill>
        <patternFill>
          <bgColor theme="9" tint="0.79998168889431442"/>
        </patternFill>
      </fill>
      <border>
        <bottom style="thin">
          <color theme="4"/>
        </bottom>
        <vertical/>
        <horizontal/>
      </border>
    </dxf>
    <dxf>
      <font>
        <b/>
        <i val="0"/>
        <sz val="12"/>
        <color rgb="FF003300"/>
      </font>
      <fill>
        <patternFill patternType="solid">
          <bgColor theme="9" tint="0.79998168889431442"/>
        </patternFill>
      </fill>
      <border>
        <left style="thick">
          <color rgb="FF003300"/>
        </left>
        <right style="thick">
          <color rgb="FF003300"/>
        </right>
        <top style="thick">
          <color rgb="FF003300"/>
        </top>
        <bottom style="thick">
          <color rgb="FF003300"/>
        </bottom>
        <vertical/>
        <horizontal/>
      </border>
    </dxf>
  </dxfs>
  <tableStyles count="1" defaultTableStyle="TableStyleMedium2" defaultPivotStyle="PivotStyleLight16">
    <tableStyle name="SlicerStyleLight1 2" pivot="0" table="0" count="10" xr9:uid="{120AC9CB-4EA0-4E19-8E47-67BC33B93A47}">
      <tableStyleElement type="wholeTable" dxfId="47"/>
      <tableStyleElement type="headerRow" dxfId="46"/>
    </tableStyle>
  </tableStyles>
  <colors>
    <mruColors>
      <color rgb="FF003300"/>
      <color rgb="FF5B9BD5"/>
      <color rgb="FF70AD47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sz val="12"/>
            <color rgb="FF003300"/>
          </font>
          <fill>
            <patternFill patternType="solid">
              <fgColor theme="4" tint="0.79995117038483843"/>
              <bgColor theme="9" tint="0.79998168889431442"/>
            </patternFill>
          </fill>
          <border>
            <left style="thick">
              <color rgb="FF003300"/>
            </left>
            <right style="thick">
              <color rgb="FF003300"/>
            </right>
            <top style="thick">
              <color rgb="FF003300"/>
            </top>
            <bottom style="thick">
              <color rgb="FF003300"/>
            </bottom>
            <vertical/>
            <horizontal/>
          </border>
        </dxf>
        <dxf>
          <font>
            <color theme="9" tint="0.79998168889431442"/>
          </font>
          <fill>
            <patternFill patternType="solid">
              <fgColor theme="4" tint="0.59999389629810485"/>
              <bgColor rgb="FF003300"/>
            </patternFill>
          </fill>
          <border>
            <left style="thick">
              <color rgb="FF003300"/>
            </left>
            <right style="thick">
              <color rgb="FF003300"/>
            </right>
            <top style="thick">
              <color rgb="FF003300"/>
            </top>
            <bottom style="thick">
              <color rgb="FF003300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medium">
              <color rgb="FF003300"/>
            </left>
            <right style="medium">
              <color rgb="FF003300"/>
            </right>
            <top style="medium">
              <color rgb="FF003300"/>
            </top>
            <bottom style="medium">
              <color rgb="FF003300"/>
            </bottom>
            <vertical/>
            <horizontal/>
          </border>
        </dxf>
        <dxf>
          <font>
            <b/>
            <i val="0"/>
            <sz val="12"/>
            <color rgb="FF003300"/>
          </font>
          <fill>
            <patternFill patternType="solid">
              <fgColor rgb="FFFFFFFF"/>
              <bgColor theme="9" tint="0.79998168889431442"/>
            </patternFill>
          </fill>
          <border>
            <left style="thick">
              <color rgb="FF003300"/>
            </left>
            <right style="thick">
              <color rgb="FF003300"/>
            </right>
            <top style="thick">
              <color rgb="FF003300"/>
            </top>
            <bottom style="thick">
              <color rgb="FF00330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rgbClr val="0033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Gráfico!$K$1</c:f>
              <c:strCache>
                <c:ptCount val="1"/>
                <c:pt idx="0">
                  <c:v>Á Realizar</c:v>
                </c:pt>
              </c:strCache>
            </c:strRef>
          </c:tx>
          <c:spPr>
            <a:solidFill>
              <a:srgbClr val="003300"/>
            </a:solidFill>
            <a:ln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Gráfico!$J$2:$J$13</c15:sqref>
                  </c15:fullRef>
                </c:ext>
              </c:extLst>
              <c:f>Gráfico!$J$5:$J$13</c:f>
              <c:strCache>
                <c:ptCount val="9"/>
                <c:pt idx="0">
                  <c:v>04 - ABRIL</c:v>
                </c:pt>
                <c:pt idx="1">
                  <c:v>05 - MAIO</c:v>
                </c:pt>
                <c:pt idx="2">
                  <c:v>06 - JUNHO</c:v>
                </c:pt>
                <c:pt idx="3">
                  <c:v>07 - JULHO</c:v>
                </c:pt>
                <c:pt idx="4">
                  <c:v>08 - AGOSTO</c:v>
                </c:pt>
                <c:pt idx="5">
                  <c:v>09 - SETEMBRO</c:v>
                </c:pt>
                <c:pt idx="6">
                  <c:v>10 - OUTUBRO</c:v>
                </c:pt>
                <c:pt idx="7">
                  <c:v>11 - NOVEMBRO</c:v>
                </c:pt>
                <c:pt idx="8">
                  <c:v>12 - 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Gráfico!$K$2:$K$13</c15:sqref>
                  </c15:fullRef>
                </c:ext>
              </c:extLst>
              <c:f>Gráfico!$K$5:$K$13</c:f>
              <c:numCache>
                <c:formatCode>@</c:formatCode>
                <c:ptCount val="9"/>
                <c:pt idx="0">
                  <c:v>39</c:v>
                </c:pt>
                <c:pt idx="1">
                  <c:v>19</c:v>
                </c:pt>
                <c:pt idx="2">
                  <c:v>12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3F-4423-B899-677EA774C34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46854208"/>
        <c:axId val="1746854688"/>
      </c:barChart>
      <c:catAx>
        <c:axId val="174685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18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6854688"/>
        <c:crosses val="autoZero"/>
        <c:auto val="1"/>
        <c:lblAlgn val="ctr"/>
        <c:lblOffset val="100"/>
        <c:noMultiLvlLbl val="0"/>
      </c:catAx>
      <c:valAx>
        <c:axId val="1746854688"/>
        <c:scaling>
          <c:orientation val="minMax"/>
        </c:scaling>
        <c:delete val="1"/>
        <c:axPos val="l"/>
        <c:numFmt formatCode="@" sourceLinked="1"/>
        <c:majorTickMark val="none"/>
        <c:minorTickMark val="none"/>
        <c:tickLblPos val="nextTo"/>
        <c:crossAx val="174685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28575" cap="flat" cmpd="sng" algn="ctr">
      <a:solidFill>
        <a:srgbClr val="0033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rgbClr val="0033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Gráfico!$L$1</c:f>
              <c:strCache>
                <c:ptCount val="1"/>
                <c:pt idx="0">
                  <c:v>Em Andamento</c:v>
                </c:pt>
              </c:strCache>
            </c:strRef>
          </c:tx>
          <c:spPr>
            <a:solidFill>
              <a:srgbClr val="003300"/>
            </a:solidFill>
            <a:ln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Gráfico!$J$2:$J$13</c15:sqref>
                  </c15:fullRef>
                </c:ext>
              </c:extLst>
              <c:f>Gráfico!$J$5:$J$13</c:f>
              <c:strCache>
                <c:ptCount val="9"/>
                <c:pt idx="0">
                  <c:v>04 - ABRIL</c:v>
                </c:pt>
                <c:pt idx="1">
                  <c:v>05 - MAIO</c:v>
                </c:pt>
                <c:pt idx="2">
                  <c:v>06 - JUNHO</c:v>
                </c:pt>
                <c:pt idx="3">
                  <c:v>07 - JULHO</c:v>
                </c:pt>
                <c:pt idx="4">
                  <c:v>08 - AGOSTO</c:v>
                </c:pt>
                <c:pt idx="5">
                  <c:v>09 - SETEMBRO</c:v>
                </c:pt>
                <c:pt idx="6">
                  <c:v>10 - OUTUBRO</c:v>
                </c:pt>
                <c:pt idx="7">
                  <c:v>11 - NOVEMBRO</c:v>
                </c:pt>
                <c:pt idx="8">
                  <c:v>12 - 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Gráfico!$L$2:$L$13</c15:sqref>
                  </c15:fullRef>
                </c:ext>
              </c:extLst>
              <c:f>Gráfico!$L$5:$L$13</c:f>
              <c:numCache>
                <c:formatCode>@</c:formatCode>
                <c:ptCount val="9"/>
                <c:pt idx="0">
                  <c:v>9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91-4220-B1AE-12CF5BFFC39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46394576"/>
        <c:axId val="1845075920"/>
      </c:barChart>
      <c:catAx>
        <c:axId val="184639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18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45075920"/>
        <c:crosses val="autoZero"/>
        <c:auto val="1"/>
        <c:lblAlgn val="ctr"/>
        <c:lblOffset val="100"/>
        <c:noMultiLvlLbl val="0"/>
      </c:catAx>
      <c:valAx>
        <c:axId val="1845075920"/>
        <c:scaling>
          <c:orientation val="minMax"/>
        </c:scaling>
        <c:delete val="1"/>
        <c:axPos val="l"/>
        <c:numFmt formatCode="@" sourceLinked="1"/>
        <c:majorTickMark val="none"/>
        <c:minorTickMark val="none"/>
        <c:tickLblPos val="nextTo"/>
        <c:crossAx val="184639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28575" cap="flat" cmpd="sng" algn="ctr">
      <a:solidFill>
        <a:srgbClr val="0033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rgbClr val="0033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Gráfico!$M$1</c:f>
              <c:strCache>
                <c:ptCount val="1"/>
                <c:pt idx="0">
                  <c:v>Concluídas</c:v>
                </c:pt>
              </c:strCache>
            </c:strRef>
          </c:tx>
          <c:spPr>
            <a:solidFill>
              <a:srgbClr val="003300"/>
            </a:solidFill>
            <a:ln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33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Gráfico!$J$2:$J$13</c15:sqref>
                  </c15:fullRef>
                </c:ext>
              </c:extLst>
              <c:f>Gráfico!$J$5:$J$13</c:f>
              <c:strCache>
                <c:ptCount val="9"/>
                <c:pt idx="0">
                  <c:v>04 - ABRIL</c:v>
                </c:pt>
                <c:pt idx="1">
                  <c:v>05 - MAIO</c:v>
                </c:pt>
                <c:pt idx="2">
                  <c:v>06 - JUNHO</c:v>
                </c:pt>
                <c:pt idx="3">
                  <c:v>07 - JULHO</c:v>
                </c:pt>
                <c:pt idx="4">
                  <c:v>08 - AGOSTO</c:v>
                </c:pt>
                <c:pt idx="5">
                  <c:v>09 - SETEMBRO</c:v>
                </c:pt>
                <c:pt idx="6">
                  <c:v>10 - OUTUBRO</c:v>
                </c:pt>
                <c:pt idx="7">
                  <c:v>11 - NOVEMBRO</c:v>
                </c:pt>
                <c:pt idx="8">
                  <c:v>12 - 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Gráfico!$M$2:$M$13</c15:sqref>
                  </c15:fullRef>
                </c:ext>
              </c:extLst>
              <c:f>Gráfico!$M$5:$M$13</c:f>
              <c:numCache>
                <c:formatCode>@</c:formatCode>
                <c:ptCount val="9"/>
                <c:pt idx="0">
                  <c:v>17</c:v>
                </c:pt>
                <c:pt idx="1">
                  <c:v>12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86-4A54-8957-D4A8EBD6454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46857088"/>
        <c:axId val="1457058304"/>
      </c:barChart>
      <c:catAx>
        <c:axId val="17468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18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rgbClr val="0033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7058304"/>
        <c:crosses val="autoZero"/>
        <c:auto val="1"/>
        <c:lblAlgn val="ctr"/>
        <c:lblOffset val="100"/>
        <c:noMultiLvlLbl val="0"/>
      </c:catAx>
      <c:valAx>
        <c:axId val="1457058304"/>
        <c:scaling>
          <c:orientation val="minMax"/>
        </c:scaling>
        <c:delete val="1"/>
        <c:axPos val="l"/>
        <c:numFmt formatCode="@" sourceLinked="1"/>
        <c:majorTickMark val="none"/>
        <c:minorTickMark val="none"/>
        <c:tickLblPos val="nextTo"/>
        <c:crossAx val="174685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28575" cap="flat" cmpd="sng" algn="ctr">
      <a:solidFill>
        <a:srgbClr val="0033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rgbClr val="0033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Gráfico!$N$1</c:f>
              <c:strCache>
                <c:ptCount val="1"/>
                <c:pt idx="0">
                  <c:v>Média Dias para Conclusão</c:v>
                </c:pt>
              </c:strCache>
            </c:strRef>
          </c:tx>
          <c:spPr>
            <a:solidFill>
              <a:srgbClr val="003300"/>
            </a:solidFill>
            <a:ln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Gráfico!$J$2:$J$13</c15:sqref>
                  </c15:fullRef>
                </c:ext>
              </c:extLst>
              <c:f>Gráfico!$J$5:$J$13</c:f>
              <c:strCache>
                <c:ptCount val="9"/>
                <c:pt idx="0">
                  <c:v>04 - ABRIL</c:v>
                </c:pt>
                <c:pt idx="1">
                  <c:v>05 - MAIO</c:v>
                </c:pt>
                <c:pt idx="2">
                  <c:v>06 - JUNHO</c:v>
                </c:pt>
                <c:pt idx="3">
                  <c:v>07 - JULHO</c:v>
                </c:pt>
                <c:pt idx="4">
                  <c:v>08 - AGOSTO</c:v>
                </c:pt>
                <c:pt idx="5">
                  <c:v>09 - SETEMBRO</c:v>
                </c:pt>
                <c:pt idx="6">
                  <c:v>10 - OUTUBRO</c:v>
                </c:pt>
                <c:pt idx="7">
                  <c:v>11 - NOVEMBRO</c:v>
                </c:pt>
                <c:pt idx="8">
                  <c:v>12 - 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Gráfico!$N$2:$N$13</c15:sqref>
                  </c15:fullRef>
                </c:ext>
              </c:extLst>
              <c:f>Gráfico!$N$5:$N$13</c:f>
              <c:numCache>
                <c:formatCode>General</c:formatCode>
                <c:ptCount val="9"/>
                <c:pt idx="0">
                  <c:v>18.2</c:v>
                </c:pt>
                <c:pt idx="1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F7-42D6-8E52-F56C407DFD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46396016"/>
        <c:axId val="1846395536"/>
      </c:barChart>
      <c:catAx>
        <c:axId val="184639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18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46395536"/>
        <c:crosses val="autoZero"/>
        <c:auto val="1"/>
        <c:lblAlgn val="ctr"/>
        <c:lblOffset val="100"/>
        <c:noMultiLvlLbl val="0"/>
      </c:catAx>
      <c:valAx>
        <c:axId val="18463955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4639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28575" cap="flat" cmpd="sng" algn="ctr">
      <a:solidFill>
        <a:srgbClr val="0033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rgbClr val="0033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Gráfico!$O$1</c:f>
              <c:strCache>
                <c:ptCount val="1"/>
                <c:pt idx="0">
                  <c:v>Total de Tarefas</c:v>
                </c:pt>
              </c:strCache>
            </c:strRef>
          </c:tx>
          <c:spPr>
            <a:solidFill>
              <a:srgbClr val="003300"/>
            </a:solidFill>
            <a:ln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Gráfico!$J$2:$J$13</c15:sqref>
                  </c15:fullRef>
                </c:ext>
              </c:extLst>
              <c:f>Gráfico!$J$5:$J$13</c:f>
              <c:strCache>
                <c:ptCount val="9"/>
                <c:pt idx="0">
                  <c:v>04 - ABRIL</c:v>
                </c:pt>
                <c:pt idx="1">
                  <c:v>05 - MAIO</c:v>
                </c:pt>
                <c:pt idx="2">
                  <c:v>06 - JUNHO</c:v>
                </c:pt>
                <c:pt idx="3">
                  <c:v>07 - JULHO</c:v>
                </c:pt>
                <c:pt idx="4">
                  <c:v>08 - AGOSTO</c:v>
                </c:pt>
                <c:pt idx="5">
                  <c:v>09 - SETEMBRO</c:v>
                </c:pt>
                <c:pt idx="6">
                  <c:v>10 - OUTUBRO</c:v>
                </c:pt>
                <c:pt idx="7">
                  <c:v>11 - NOVEMBRO</c:v>
                </c:pt>
                <c:pt idx="8">
                  <c:v>12 - 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Gráfico!$O$2:$O$13</c15:sqref>
                  </c15:fullRef>
                </c:ext>
              </c:extLst>
              <c:f>Gráfico!$O$5:$O$13</c:f>
              <c:numCache>
                <c:formatCode>@</c:formatCode>
                <c:ptCount val="9"/>
                <c:pt idx="0">
                  <c:v>65</c:v>
                </c:pt>
                <c:pt idx="1">
                  <c:v>36</c:v>
                </c:pt>
                <c:pt idx="2">
                  <c:v>12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E-43D6-87B7-A0821F4AB81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40251072"/>
        <c:axId val="1840247232"/>
      </c:barChart>
      <c:catAx>
        <c:axId val="184025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18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40247232"/>
        <c:crosses val="autoZero"/>
        <c:auto val="1"/>
        <c:lblAlgn val="ctr"/>
        <c:lblOffset val="100"/>
        <c:noMultiLvlLbl val="0"/>
      </c:catAx>
      <c:valAx>
        <c:axId val="1840247232"/>
        <c:scaling>
          <c:orientation val="minMax"/>
        </c:scaling>
        <c:delete val="1"/>
        <c:axPos val="l"/>
        <c:numFmt formatCode="@" sourceLinked="1"/>
        <c:majorTickMark val="none"/>
        <c:minorTickMark val="none"/>
        <c:tickLblPos val="nextTo"/>
        <c:crossAx val="184025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28575" cap="flat" cmpd="sng" algn="ctr">
      <a:solidFill>
        <a:srgbClr val="0033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105</xdr:col>
      <xdr:colOff>89297</xdr:colOff>
      <xdr:row>6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AbrirDetalhesDoCard">
          <xdr:nvGraphicFramePr>
            <xdr:cNvPr id="571" name="MESES">
              <a:extLst>
                <a:ext uri="{FF2B5EF4-FFF2-40B4-BE49-F238E27FC236}">
                  <a16:creationId xmlns:a16="http://schemas.microsoft.com/office/drawing/2014/main" id="{87356651-9E65-47EC-AFEB-B8C6EC66575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841641" cy="714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12</xdr:col>
      <xdr:colOff>114300</xdr:colOff>
      <xdr:row>6</xdr:row>
      <xdr:rowOff>9525</xdr:rowOff>
    </xdr:from>
    <xdr:to>
      <xdr:col>36</xdr:col>
      <xdr:colOff>0</xdr:colOff>
      <xdr:row>10</xdr:row>
      <xdr:rowOff>47625</xdr:rowOff>
    </xdr:to>
    <xdr:sp macro="AbrirDetalhesDoCard" textlink="">
      <xdr:nvSpPr>
        <xdr:cNvPr id="805" name="Tarefas_Realizar">
          <a:extLst>
            <a:ext uri="{FF2B5EF4-FFF2-40B4-BE49-F238E27FC236}">
              <a16:creationId xmlns:a16="http://schemas.microsoft.com/office/drawing/2014/main" id="{104F3AEB-CFB5-C59F-E131-9EAB8AA51B05}"/>
            </a:ext>
          </a:extLst>
        </xdr:cNvPr>
        <xdr:cNvSpPr/>
      </xdr:nvSpPr>
      <xdr:spPr>
        <a:xfrm>
          <a:off x="2286000" y="752475"/>
          <a:ext cx="4229100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TAREFAS</a:t>
          </a:r>
          <a:r>
            <a:rPr lang="pt-BR" sz="2800" b="1" baseline="0">
              <a:solidFill>
                <a:schemeClr val="bg1"/>
              </a:solidFill>
            </a:rPr>
            <a:t> A REALIZAR</a:t>
          </a:r>
          <a:endParaRPr lang="pt-BR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64</xdr:col>
      <xdr:colOff>80493</xdr:colOff>
      <xdr:row>6</xdr:row>
      <xdr:rowOff>9525</xdr:rowOff>
    </xdr:from>
    <xdr:to>
      <xdr:col>92</xdr:col>
      <xdr:colOff>53661</xdr:colOff>
      <xdr:row>10</xdr:row>
      <xdr:rowOff>47625</xdr:rowOff>
    </xdr:to>
    <xdr:sp macro="AbrirDetalhesDoCard" textlink="">
      <xdr:nvSpPr>
        <xdr:cNvPr id="806" name="Tarefas_Andamento">
          <a:extLst>
            <a:ext uri="{FF2B5EF4-FFF2-40B4-BE49-F238E27FC236}">
              <a16:creationId xmlns:a16="http://schemas.microsoft.com/office/drawing/2014/main" id="{581AB645-D1E0-469E-BEBD-300ADA6C6BEA}"/>
            </a:ext>
          </a:extLst>
        </xdr:cNvPr>
        <xdr:cNvSpPr/>
      </xdr:nvSpPr>
      <xdr:spPr>
        <a:xfrm>
          <a:off x="11067782" y="733962"/>
          <a:ext cx="4856407" cy="5210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solidFill>
                <a:sysClr val="windowText" lastClr="000000"/>
              </a:solidFill>
            </a:rPr>
            <a:t>TAREFAS</a:t>
          </a:r>
          <a:r>
            <a:rPr lang="pt-BR" sz="2800" b="1" baseline="0">
              <a:solidFill>
                <a:sysClr val="windowText" lastClr="000000"/>
              </a:solidFill>
            </a:rPr>
            <a:t> EM ANDAMENTO</a:t>
          </a:r>
          <a:endParaRPr lang="pt-BR" sz="2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108</xdr:col>
      <xdr:colOff>19844</xdr:colOff>
      <xdr:row>2</xdr:row>
      <xdr:rowOff>9922</xdr:rowOff>
    </xdr:from>
    <xdr:to>
      <xdr:col>110</xdr:col>
      <xdr:colOff>5556</xdr:colOff>
      <xdr:row>4</xdr:row>
      <xdr:rowOff>9924</xdr:rowOff>
    </xdr:to>
    <xdr:sp macro="AbrirDetalhesDoCard" textlink="">
      <xdr:nvSpPr>
        <xdr:cNvPr id="841" name="Minimizar">
          <a:extLst>
            <a:ext uri="{FF2B5EF4-FFF2-40B4-BE49-F238E27FC236}">
              <a16:creationId xmlns:a16="http://schemas.microsoft.com/office/drawing/2014/main" id="{D5C7FE7B-FC91-47BD-A339-C3778A1C6122}"/>
            </a:ext>
          </a:extLst>
        </xdr:cNvPr>
        <xdr:cNvSpPr/>
      </xdr:nvSpPr>
      <xdr:spPr>
        <a:xfrm>
          <a:off x="19307969" y="248047"/>
          <a:ext cx="342900" cy="238127"/>
        </a:xfrm>
        <a:prstGeom prst="mathMinu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0</xdr:colOff>
      <xdr:row>11</xdr:row>
      <xdr:rowOff>0</xdr:rowOff>
    </xdr:from>
    <xdr:to>
      <xdr:col>36</xdr:col>
      <xdr:colOff>171196</xdr:colOff>
      <xdr:row>19</xdr:row>
      <xdr:rowOff>25400</xdr:rowOff>
    </xdr:to>
    <xdr:sp macro="AbrirDetalhesDoCard" textlink="">
      <xdr:nvSpPr>
        <xdr:cNvPr id="851" name="Retângulo: Canto Dobrado 850">
          <a:extLst>
            <a:ext uri="{FF2B5EF4-FFF2-40B4-BE49-F238E27FC236}">
              <a16:creationId xmlns:a16="http://schemas.microsoft.com/office/drawing/2014/main" id="{6F15CA7B-3455-9F8C-ECA1-F02A0B58CEDD}"/>
            </a:ext>
          </a:extLst>
        </xdr:cNvPr>
        <xdr:cNvSpPr/>
      </xdr:nvSpPr>
      <xdr:spPr>
        <a:xfrm>
          <a:off x="4886325" y="1362075"/>
          <a:ext cx="1799971" cy="1016000"/>
        </a:xfrm>
        <a:prstGeom prst="foldedCorner">
          <a:avLst/>
        </a:prstGeom>
        <a:solidFill>
          <a:srgbClr val="000000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PRIORIDADE - 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HOMOLOGAÇÃO SITE ARIBA USIFIX</a:t>
          </a:r>
        </a:p>
      </xdr:txBody>
    </xdr:sp>
    <xdr:clientData/>
  </xdr:twoCellAnchor>
  <xdr:twoCellAnchor>
    <xdr:from>
      <xdr:col>37</xdr:col>
      <xdr:colOff>98171</xdr:colOff>
      <xdr:row>11</xdr:row>
      <xdr:rowOff>0</xdr:rowOff>
    </xdr:from>
    <xdr:to>
      <xdr:col>47</xdr:col>
      <xdr:colOff>88392</xdr:colOff>
      <xdr:row>19</xdr:row>
      <xdr:rowOff>25400</xdr:rowOff>
    </xdr:to>
    <xdr:sp macro="AbrirDetalhesDoCard" textlink="">
      <xdr:nvSpPr>
        <xdr:cNvPr id="852" name="Retângulo: Canto Dobrado 851">
          <a:extLst>
            <a:ext uri="{FF2B5EF4-FFF2-40B4-BE49-F238E27FC236}">
              <a16:creationId xmlns:a16="http://schemas.microsoft.com/office/drawing/2014/main" id="{2FC40489-D8D0-B798-29D1-E0731B0E2CF3}"/>
            </a:ext>
          </a:extLst>
        </xdr:cNvPr>
        <xdr:cNvSpPr/>
      </xdr:nvSpPr>
      <xdr:spPr>
        <a:xfrm>
          <a:off x="6794246" y="1362075"/>
          <a:ext cx="1799971" cy="1016000"/>
        </a:xfrm>
        <a:prstGeom prst="foldedCorner">
          <a:avLst/>
        </a:prstGeom>
        <a:solidFill>
          <a:srgbClr val="000000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PRIORIDADE - 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RENOVAÇÃO SEGUROS FROTA</a:t>
          </a:r>
        </a:p>
      </xdr:txBody>
    </xdr:sp>
    <xdr:clientData/>
  </xdr:twoCellAnchor>
  <xdr:twoCellAnchor>
    <xdr:from>
      <xdr:col>27</xdr:col>
      <xdr:colOff>0</xdr:colOff>
      <xdr:row>20</xdr:row>
      <xdr:rowOff>81915</xdr:rowOff>
    </xdr:from>
    <xdr:to>
      <xdr:col>36</xdr:col>
      <xdr:colOff>171196</xdr:colOff>
      <xdr:row>28</xdr:row>
      <xdr:rowOff>107315</xdr:rowOff>
    </xdr:to>
    <xdr:sp macro="AbrirDetalhesDoCard" textlink="">
      <xdr:nvSpPr>
        <xdr:cNvPr id="853" name="Retângulo: Canto Dobrado 852">
          <a:extLst>
            <a:ext uri="{FF2B5EF4-FFF2-40B4-BE49-F238E27FC236}">
              <a16:creationId xmlns:a16="http://schemas.microsoft.com/office/drawing/2014/main" id="{FD108FD7-26ED-D26D-1369-94733CE421C3}"/>
            </a:ext>
          </a:extLst>
        </xdr:cNvPr>
        <xdr:cNvSpPr/>
      </xdr:nvSpPr>
      <xdr:spPr>
        <a:xfrm>
          <a:off x="4886325" y="2558415"/>
          <a:ext cx="1799971" cy="1016000"/>
        </a:xfrm>
        <a:prstGeom prst="foldedCorner">
          <a:avLst/>
        </a:prstGeom>
        <a:solidFill>
          <a:srgbClr val="000000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PRIORIDADE - 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REUNIAO VERUS PSICOSSOCIAL</a:t>
          </a:r>
        </a:p>
      </xdr:txBody>
    </xdr:sp>
    <xdr:clientData/>
  </xdr:twoCellAnchor>
  <xdr:twoCellAnchor>
    <xdr:from>
      <xdr:col>37</xdr:col>
      <xdr:colOff>98171</xdr:colOff>
      <xdr:row>20</xdr:row>
      <xdr:rowOff>81915</xdr:rowOff>
    </xdr:from>
    <xdr:to>
      <xdr:col>47</xdr:col>
      <xdr:colOff>88392</xdr:colOff>
      <xdr:row>28</xdr:row>
      <xdr:rowOff>107315</xdr:rowOff>
    </xdr:to>
    <xdr:sp macro="AbrirDetalhesDoCard" textlink="">
      <xdr:nvSpPr>
        <xdr:cNvPr id="854" name="Retângulo: Canto Dobrado 853">
          <a:extLst>
            <a:ext uri="{FF2B5EF4-FFF2-40B4-BE49-F238E27FC236}">
              <a16:creationId xmlns:a16="http://schemas.microsoft.com/office/drawing/2014/main" id="{F601D9C3-03FC-14B2-8F49-9652389A1529}"/>
            </a:ext>
          </a:extLst>
        </xdr:cNvPr>
        <xdr:cNvSpPr/>
      </xdr:nvSpPr>
      <xdr:spPr>
        <a:xfrm>
          <a:off x="6794246" y="2558415"/>
          <a:ext cx="1799971" cy="1016000"/>
        </a:xfrm>
        <a:prstGeom prst="foldedCorner">
          <a:avLst/>
        </a:prstGeom>
        <a:solidFill>
          <a:srgbClr val="000000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PRIORIDADE - 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COMPRA BOMBOM RH CAMAPANHA</a:t>
          </a:r>
        </a:p>
      </xdr:txBody>
    </xdr:sp>
    <xdr:clientData/>
  </xdr:twoCellAnchor>
  <xdr:twoCellAnchor>
    <xdr:from>
      <xdr:col>27</xdr:col>
      <xdr:colOff>0</xdr:colOff>
      <xdr:row>30</xdr:row>
      <xdr:rowOff>40005</xdr:rowOff>
    </xdr:from>
    <xdr:to>
      <xdr:col>36</xdr:col>
      <xdr:colOff>171196</xdr:colOff>
      <xdr:row>38</xdr:row>
      <xdr:rowOff>65405</xdr:rowOff>
    </xdr:to>
    <xdr:sp macro="AbrirDetalhesDoCard" textlink="">
      <xdr:nvSpPr>
        <xdr:cNvPr id="855" name="Retângulo: Canto Dobrado 854">
          <a:extLst>
            <a:ext uri="{FF2B5EF4-FFF2-40B4-BE49-F238E27FC236}">
              <a16:creationId xmlns:a16="http://schemas.microsoft.com/office/drawing/2014/main" id="{B84C5738-1686-71DF-3CE4-43586B838C2F}"/>
            </a:ext>
          </a:extLst>
        </xdr:cNvPr>
        <xdr:cNvSpPr/>
      </xdr:nvSpPr>
      <xdr:spPr>
        <a:xfrm>
          <a:off x="4886325" y="3754755"/>
          <a:ext cx="1799971" cy="1016000"/>
        </a:xfrm>
        <a:prstGeom prst="foldedCorner">
          <a:avLst/>
        </a:prstGeom>
        <a:solidFill>
          <a:srgbClr val="000000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PRIORIDADE - 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NAIARA - KLM -DOC. RUMO</a:t>
          </a:r>
        </a:p>
      </xdr:txBody>
    </xdr:sp>
    <xdr:clientData/>
  </xdr:twoCellAnchor>
  <xdr:twoCellAnchor>
    <xdr:from>
      <xdr:col>37</xdr:col>
      <xdr:colOff>98171</xdr:colOff>
      <xdr:row>30</xdr:row>
      <xdr:rowOff>40005</xdr:rowOff>
    </xdr:from>
    <xdr:to>
      <xdr:col>47</xdr:col>
      <xdr:colOff>88392</xdr:colOff>
      <xdr:row>38</xdr:row>
      <xdr:rowOff>65405</xdr:rowOff>
    </xdr:to>
    <xdr:sp macro="AbrirDetalhesDoCard" textlink="">
      <xdr:nvSpPr>
        <xdr:cNvPr id="856" name="Retângulo: Canto Dobrado 855">
          <a:extLst>
            <a:ext uri="{FF2B5EF4-FFF2-40B4-BE49-F238E27FC236}">
              <a16:creationId xmlns:a16="http://schemas.microsoft.com/office/drawing/2014/main" id="{1455A6E1-C523-24D6-C76B-E657A61A7F02}"/>
            </a:ext>
          </a:extLst>
        </xdr:cNvPr>
        <xdr:cNvSpPr/>
      </xdr:nvSpPr>
      <xdr:spPr>
        <a:xfrm>
          <a:off x="6794246" y="3754755"/>
          <a:ext cx="1799971" cy="1016000"/>
        </a:xfrm>
        <a:prstGeom prst="foldedCorner">
          <a:avLst/>
        </a:prstGeom>
        <a:solidFill>
          <a:srgbClr val="000000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PRIORIDADE - 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REUNIAO CARLA TECNICA DE SEGURANÇA</a:t>
          </a:r>
        </a:p>
      </xdr:txBody>
    </xdr:sp>
    <xdr:clientData/>
  </xdr:twoCellAnchor>
  <xdr:twoCellAnchor>
    <xdr:from>
      <xdr:col>27</xdr:col>
      <xdr:colOff>0</xdr:colOff>
      <xdr:row>39</xdr:row>
      <xdr:rowOff>121920</xdr:rowOff>
    </xdr:from>
    <xdr:to>
      <xdr:col>36</xdr:col>
      <xdr:colOff>171196</xdr:colOff>
      <xdr:row>48</xdr:row>
      <xdr:rowOff>23495</xdr:rowOff>
    </xdr:to>
    <xdr:sp macro="AbrirDetalhesDoCard" textlink="">
      <xdr:nvSpPr>
        <xdr:cNvPr id="857" name="Retângulo: Canto Dobrado 856">
          <a:extLst>
            <a:ext uri="{FF2B5EF4-FFF2-40B4-BE49-F238E27FC236}">
              <a16:creationId xmlns:a16="http://schemas.microsoft.com/office/drawing/2014/main" id="{C9321E4C-5D90-41AA-2292-0AB8051DDE90}"/>
            </a:ext>
          </a:extLst>
        </xdr:cNvPr>
        <xdr:cNvSpPr/>
      </xdr:nvSpPr>
      <xdr:spPr>
        <a:xfrm>
          <a:off x="4886325" y="4951095"/>
          <a:ext cx="1799971" cy="1016000"/>
        </a:xfrm>
        <a:prstGeom prst="foldedCorner">
          <a:avLst/>
        </a:prstGeom>
        <a:solidFill>
          <a:srgbClr val="000000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PRIORIDADE - 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REUNIÃO SERGIO VERUS</a:t>
          </a:r>
        </a:p>
      </xdr:txBody>
    </xdr:sp>
    <xdr:clientData/>
  </xdr:twoCellAnchor>
  <xdr:twoCellAnchor>
    <xdr:from>
      <xdr:col>37</xdr:col>
      <xdr:colOff>98171</xdr:colOff>
      <xdr:row>39</xdr:row>
      <xdr:rowOff>121920</xdr:rowOff>
    </xdr:from>
    <xdr:to>
      <xdr:col>47</xdr:col>
      <xdr:colOff>88392</xdr:colOff>
      <xdr:row>48</xdr:row>
      <xdr:rowOff>23495</xdr:rowOff>
    </xdr:to>
    <xdr:sp macro="AbrirDetalhesDoCard" textlink="">
      <xdr:nvSpPr>
        <xdr:cNvPr id="858" name="Retângulo: Canto Dobrado 857">
          <a:extLst>
            <a:ext uri="{FF2B5EF4-FFF2-40B4-BE49-F238E27FC236}">
              <a16:creationId xmlns:a16="http://schemas.microsoft.com/office/drawing/2014/main" id="{FC251C4C-2035-8507-3CA5-DB1B5271442F}"/>
            </a:ext>
          </a:extLst>
        </xdr:cNvPr>
        <xdr:cNvSpPr/>
      </xdr:nvSpPr>
      <xdr:spPr>
        <a:xfrm>
          <a:off x="6794246" y="4951095"/>
          <a:ext cx="1799971" cy="1016000"/>
        </a:xfrm>
        <a:prstGeom prst="foldedCorner">
          <a:avLst/>
        </a:prstGeom>
        <a:solidFill>
          <a:srgbClr val="000000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PRIORIDADE - 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CADASTRO CLIENTE RONNÃ</a:t>
          </a:r>
        </a:p>
      </xdr:txBody>
    </xdr:sp>
    <xdr:clientData/>
  </xdr:twoCellAnchor>
  <xdr:twoCellAnchor>
    <xdr:from>
      <xdr:col>27</xdr:col>
      <xdr:colOff>0</xdr:colOff>
      <xdr:row>49</xdr:row>
      <xdr:rowOff>80010</xdr:rowOff>
    </xdr:from>
    <xdr:to>
      <xdr:col>36</xdr:col>
      <xdr:colOff>171196</xdr:colOff>
      <xdr:row>57</xdr:row>
      <xdr:rowOff>105410</xdr:rowOff>
    </xdr:to>
    <xdr:sp macro="AbrirDetalhesDoCard" textlink="">
      <xdr:nvSpPr>
        <xdr:cNvPr id="859" name="Retângulo: Canto Dobrado 858">
          <a:extLst>
            <a:ext uri="{FF2B5EF4-FFF2-40B4-BE49-F238E27FC236}">
              <a16:creationId xmlns:a16="http://schemas.microsoft.com/office/drawing/2014/main" id="{FB1ABF1F-63E1-F8C4-ABFC-407CBA26AD82}"/>
            </a:ext>
          </a:extLst>
        </xdr:cNvPr>
        <xdr:cNvSpPr/>
      </xdr:nvSpPr>
      <xdr:spPr>
        <a:xfrm>
          <a:off x="4886325" y="6147435"/>
          <a:ext cx="1799971" cy="1016000"/>
        </a:xfrm>
        <a:prstGeom prst="foldedCorner">
          <a:avLst/>
        </a:prstGeom>
        <a:solidFill>
          <a:srgbClr val="000000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PRIORIDADE - 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REUNIAO SESI - IANCO</a:t>
          </a:r>
        </a:p>
      </xdr:txBody>
    </xdr:sp>
    <xdr:clientData/>
  </xdr:twoCellAnchor>
  <xdr:twoCellAnchor>
    <xdr:from>
      <xdr:col>37</xdr:col>
      <xdr:colOff>98171</xdr:colOff>
      <xdr:row>49</xdr:row>
      <xdr:rowOff>80010</xdr:rowOff>
    </xdr:from>
    <xdr:to>
      <xdr:col>47</xdr:col>
      <xdr:colOff>88392</xdr:colOff>
      <xdr:row>57</xdr:row>
      <xdr:rowOff>105410</xdr:rowOff>
    </xdr:to>
    <xdr:sp macro="AbrirDetalhesDoCard" textlink="">
      <xdr:nvSpPr>
        <xdr:cNvPr id="860" name="Retângulo: Canto Dobrado 859">
          <a:extLst>
            <a:ext uri="{FF2B5EF4-FFF2-40B4-BE49-F238E27FC236}">
              <a16:creationId xmlns:a16="http://schemas.microsoft.com/office/drawing/2014/main" id="{5AC163EC-408F-A9D2-852A-C46A43767A11}"/>
            </a:ext>
          </a:extLst>
        </xdr:cNvPr>
        <xdr:cNvSpPr/>
      </xdr:nvSpPr>
      <xdr:spPr>
        <a:xfrm>
          <a:off x="6794246" y="6147435"/>
          <a:ext cx="1799971" cy="1016000"/>
        </a:xfrm>
        <a:prstGeom prst="foldedCorner">
          <a:avLst/>
        </a:prstGeom>
        <a:solidFill>
          <a:srgbClr val="000000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PRIORIDADE - 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CONFERENCIA DOS DOC. NO SG3 RUMO</a:t>
          </a:r>
        </a:p>
      </xdr:txBody>
    </xdr:sp>
    <xdr:clientData/>
  </xdr:twoCellAnchor>
  <xdr:twoCellAnchor>
    <xdr:from>
      <xdr:col>27</xdr:col>
      <xdr:colOff>0</xdr:colOff>
      <xdr:row>59</xdr:row>
      <xdr:rowOff>38100</xdr:rowOff>
    </xdr:from>
    <xdr:to>
      <xdr:col>36</xdr:col>
      <xdr:colOff>171196</xdr:colOff>
      <xdr:row>67</xdr:row>
      <xdr:rowOff>63500</xdr:rowOff>
    </xdr:to>
    <xdr:sp macro="AbrirDetalhesDoCard" textlink="">
      <xdr:nvSpPr>
        <xdr:cNvPr id="861" name="Retângulo: Canto Dobrado 860">
          <a:extLst>
            <a:ext uri="{FF2B5EF4-FFF2-40B4-BE49-F238E27FC236}">
              <a16:creationId xmlns:a16="http://schemas.microsoft.com/office/drawing/2014/main" id="{4620AB60-E7BC-6081-4E11-A92CA26892C1}"/>
            </a:ext>
          </a:extLst>
        </xdr:cNvPr>
        <xdr:cNvSpPr/>
      </xdr:nvSpPr>
      <xdr:spPr>
        <a:xfrm>
          <a:off x="4886325" y="7343775"/>
          <a:ext cx="1799971" cy="1016000"/>
        </a:xfrm>
        <a:prstGeom prst="foldedCorner">
          <a:avLst/>
        </a:prstGeom>
        <a:solidFill>
          <a:srgbClr val="000000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PRIORIDADE - 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DIR DOC. APODENTADORIA GUGA </a:t>
          </a:r>
        </a:p>
      </xdr:txBody>
    </xdr:sp>
    <xdr:clientData/>
  </xdr:twoCellAnchor>
  <xdr:twoCellAnchor>
    <xdr:from>
      <xdr:col>37</xdr:col>
      <xdr:colOff>98171</xdr:colOff>
      <xdr:row>59</xdr:row>
      <xdr:rowOff>38100</xdr:rowOff>
    </xdr:from>
    <xdr:to>
      <xdr:col>47</xdr:col>
      <xdr:colOff>88392</xdr:colOff>
      <xdr:row>67</xdr:row>
      <xdr:rowOff>63500</xdr:rowOff>
    </xdr:to>
    <xdr:sp macro="AbrirDetalhesDoCard" textlink="">
      <xdr:nvSpPr>
        <xdr:cNvPr id="862" name="Retângulo: Canto Dobrado 861">
          <a:extLst>
            <a:ext uri="{FF2B5EF4-FFF2-40B4-BE49-F238E27FC236}">
              <a16:creationId xmlns:a16="http://schemas.microsoft.com/office/drawing/2014/main" id="{65862420-2031-6F3C-8C06-CE1EB54075C9}"/>
            </a:ext>
          </a:extLst>
        </xdr:cNvPr>
        <xdr:cNvSpPr/>
      </xdr:nvSpPr>
      <xdr:spPr>
        <a:xfrm>
          <a:off x="6794246" y="7343775"/>
          <a:ext cx="1799971" cy="1016000"/>
        </a:xfrm>
        <a:prstGeom prst="foldedCorner">
          <a:avLst/>
        </a:prstGeom>
        <a:solidFill>
          <a:srgbClr val="000000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PRIORIDADE - 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DEVEC USIFIX</a:t>
          </a:r>
        </a:p>
      </xdr:txBody>
    </xdr:sp>
    <xdr:clientData/>
  </xdr:twoCellAnchor>
  <xdr:twoCellAnchor>
    <xdr:from>
      <xdr:col>27</xdr:col>
      <xdr:colOff>0</xdr:colOff>
      <xdr:row>68</xdr:row>
      <xdr:rowOff>120015</xdr:rowOff>
    </xdr:from>
    <xdr:to>
      <xdr:col>36</xdr:col>
      <xdr:colOff>171196</xdr:colOff>
      <xdr:row>77</xdr:row>
      <xdr:rowOff>21590</xdr:rowOff>
    </xdr:to>
    <xdr:sp macro="AbrirDetalhesDoCard" textlink="">
      <xdr:nvSpPr>
        <xdr:cNvPr id="863" name="Retângulo: Canto Dobrado 862">
          <a:extLst>
            <a:ext uri="{FF2B5EF4-FFF2-40B4-BE49-F238E27FC236}">
              <a16:creationId xmlns:a16="http://schemas.microsoft.com/office/drawing/2014/main" id="{5192DC50-8FF3-00F6-E0E6-316B76BE7904}"/>
            </a:ext>
          </a:extLst>
        </xdr:cNvPr>
        <xdr:cNvSpPr/>
      </xdr:nvSpPr>
      <xdr:spPr>
        <a:xfrm>
          <a:off x="4886325" y="8540115"/>
          <a:ext cx="1799971" cy="1016000"/>
        </a:xfrm>
        <a:prstGeom prst="foldedCorner">
          <a:avLst/>
        </a:prstGeom>
        <a:solidFill>
          <a:srgbClr val="000000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PRIORIDADE - 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TROCA DE TITULARIDADE SERCONTEL </a:t>
          </a:r>
        </a:p>
      </xdr:txBody>
    </xdr:sp>
    <xdr:clientData/>
  </xdr:twoCellAnchor>
  <xdr:twoCellAnchor>
    <xdr:from>
      <xdr:col>37</xdr:col>
      <xdr:colOff>98171</xdr:colOff>
      <xdr:row>68</xdr:row>
      <xdr:rowOff>120015</xdr:rowOff>
    </xdr:from>
    <xdr:to>
      <xdr:col>47</xdr:col>
      <xdr:colOff>88392</xdr:colOff>
      <xdr:row>77</xdr:row>
      <xdr:rowOff>21590</xdr:rowOff>
    </xdr:to>
    <xdr:sp macro="AbrirDetalhesDoCard" textlink="">
      <xdr:nvSpPr>
        <xdr:cNvPr id="864" name="Retângulo: Canto Dobrado 863">
          <a:extLst>
            <a:ext uri="{FF2B5EF4-FFF2-40B4-BE49-F238E27FC236}">
              <a16:creationId xmlns:a16="http://schemas.microsoft.com/office/drawing/2014/main" id="{B8A4AAF2-36C3-EE9D-15F7-460E8612EC8C}"/>
            </a:ext>
          </a:extLst>
        </xdr:cNvPr>
        <xdr:cNvSpPr/>
      </xdr:nvSpPr>
      <xdr:spPr>
        <a:xfrm>
          <a:off x="6794246" y="8540115"/>
          <a:ext cx="1799971" cy="1016000"/>
        </a:xfrm>
        <a:prstGeom prst="foldedCorner">
          <a:avLst/>
        </a:prstGeom>
        <a:solidFill>
          <a:srgbClr val="000000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PRIORIDADE - 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PEDIR PARA JEAN </a:t>
          </a:r>
        </a:p>
      </xdr:txBody>
    </xdr:sp>
    <xdr:clientData/>
  </xdr:twoCellAnchor>
  <xdr:twoCellAnchor>
    <xdr:from>
      <xdr:col>27</xdr:col>
      <xdr:colOff>0</xdr:colOff>
      <xdr:row>78</xdr:row>
      <xdr:rowOff>78105</xdr:rowOff>
    </xdr:from>
    <xdr:to>
      <xdr:col>36</xdr:col>
      <xdr:colOff>171196</xdr:colOff>
      <xdr:row>86</xdr:row>
      <xdr:rowOff>103505</xdr:rowOff>
    </xdr:to>
    <xdr:sp macro="AbrirDetalhesDoCard" textlink="">
      <xdr:nvSpPr>
        <xdr:cNvPr id="865" name="Retângulo: Canto Dobrado 864">
          <a:extLst>
            <a:ext uri="{FF2B5EF4-FFF2-40B4-BE49-F238E27FC236}">
              <a16:creationId xmlns:a16="http://schemas.microsoft.com/office/drawing/2014/main" id="{C1A4CC1E-0DAC-8993-BBB0-D1E92481D46A}"/>
            </a:ext>
          </a:extLst>
        </xdr:cNvPr>
        <xdr:cNvSpPr/>
      </xdr:nvSpPr>
      <xdr:spPr>
        <a:xfrm>
          <a:off x="4886325" y="9736455"/>
          <a:ext cx="1799971" cy="1016000"/>
        </a:xfrm>
        <a:prstGeom prst="foldedCorner">
          <a:avLst/>
        </a:prstGeom>
        <a:solidFill>
          <a:srgbClr val="000000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PRIORIDADE - 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CONTATO CONTABILIDADES</a:t>
          </a:r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12</xdr:col>
      <xdr:colOff>171196</xdr:colOff>
      <xdr:row>19</xdr:row>
      <xdr:rowOff>25400</xdr:rowOff>
    </xdr:to>
    <xdr:sp macro="AbrirDetalhesDoCard" textlink="">
      <xdr:nvSpPr>
        <xdr:cNvPr id="866" name="Retângulo: Canto Dobrado 865">
          <a:extLst>
            <a:ext uri="{FF2B5EF4-FFF2-40B4-BE49-F238E27FC236}">
              <a16:creationId xmlns:a16="http://schemas.microsoft.com/office/drawing/2014/main" id="{2AD0D634-079C-CF8B-18D1-1B4C6FC8EAAC}"/>
            </a:ext>
          </a:extLst>
        </xdr:cNvPr>
        <xdr:cNvSpPr/>
      </xdr:nvSpPr>
      <xdr:spPr>
        <a:xfrm>
          <a:off x="542925" y="1362075"/>
          <a:ext cx="1799971" cy="1016000"/>
        </a:xfrm>
        <a:prstGeom prst="foldedCorner">
          <a:avLst/>
        </a:prstGeom>
        <a:solidFill>
          <a:srgbClr val="002060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PRIORIDADE - ALTA</a:t>
          </a:r>
        </a:p>
        <a:p>
          <a:pPr algn="l"/>
          <a:r>
            <a:rPr lang="pt-BR" sz="1100">
              <a:solidFill>
                <a:srgbClr val="FFFFFF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FFFFFF"/>
              </a:solidFill>
              <a:latin typeface="Calibri" panose="020F0502020204030204" pitchFamily="34" charset="0"/>
            </a:rPr>
            <a:t>RELATÓRIO VITI</a:t>
          </a:r>
        </a:p>
      </xdr:txBody>
    </xdr:sp>
    <xdr:clientData/>
  </xdr:twoCellAnchor>
  <xdr:twoCellAnchor>
    <xdr:from>
      <xdr:col>13</xdr:col>
      <xdr:colOff>98171</xdr:colOff>
      <xdr:row>11</xdr:row>
      <xdr:rowOff>0</xdr:rowOff>
    </xdr:from>
    <xdr:to>
      <xdr:col>23</xdr:col>
      <xdr:colOff>88392</xdr:colOff>
      <xdr:row>19</xdr:row>
      <xdr:rowOff>25400</xdr:rowOff>
    </xdr:to>
    <xdr:sp macro="AbrirDetalhesDoCard" textlink="">
      <xdr:nvSpPr>
        <xdr:cNvPr id="867" name="Retângulo: Canto Dobrado 866">
          <a:extLst>
            <a:ext uri="{FF2B5EF4-FFF2-40B4-BE49-F238E27FC236}">
              <a16:creationId xmlns:a16="http://schemas.microsoft.com/office/drawing/2014/main" id="{65149994-64AC-4101-F295-B79C3B1B9C68}"/>
            </a:ext>
          </a:extLst>
        </xdr:cNvPr>
        <xdr:cNvSpPr/>
      </xdr:nvSpPr>
      <xdr:spPr>
        <a:xfrm>
          <a:off x="2450846" y="1362075"/>
          <a:ext cx="1799971" cy="1016000"/>
        </a:xfrm>
        <a:prstGeom prst="foldedCorner">
          <a:avLst/>
        </a:prstGeom>
        <a:solidFill>
          <a:srgbClr val="5B9BD5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PRIORIDADE - NORMAL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CONFERÊNCIA FOLHA DE PAGAMENTOS</a:t>
          </a:r>
        </a:p>
      </xdr:txBody>
    </xdr:sp>
    <xdr:clientData/>
  </xdr:twoCellAnchor>
  <xdr:twoCellAnchor>
    <xdr:from>
      <xdr:col>3</xdr:col>
      <xdr:colOff>0</xdr:colOff>
      <xdr:row>20</xdr:row>
      <xdr:rowOff>81915</xdr:rowOff>
    </xdr:from>
    <xdr:to>
      <xdr:col>12</xdr:col>
      <xdr:colOff>171196</xdr:colOff>
      <xdr:row>28</xdr:row>
      <xdr:rowOff>107315</xdr:rowOff>
    </xdr:to>
    <xdr:sp macro="AbrirDetalhesDoCard" textlink="">
      <xdr:nvSpPr>
        <xdr:cNvPr id="868" name="Retângulo: Canto Dobrado 867">
          <a:extLst>
            <a:ext uri="{FF2B5EF4-FFF2-40B4-BE49-F238E27FC236}">
              <a16:creationId xmlns:a16="http://schemas.microsoft.com/office/drawing/2014/main" id="{97154264-8ECB-408B-A97D-936D2C087CE5}"/>
            </a:ext>
          </a:extLst>
        </xdr:cNvPr>
        <xdr:cNvSpPr/>
      </xdr:nvSpPr>
      <xdr:spPr>
        <a:xfrm>
          <a:off x="542925" y="2558415"/>
          <a:ext cx="1799971" cy="1016000"/>
        </a:xfrm>
        <a:prstGeom prst="foldedCorner">
          <a:avLst/>
        </a:prstGeom>
        <a:solidFill>
          <a:srgbClr val="5B9BD5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PRIORIDADE - NORMAL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PENDÊNCIAS/PAGAMENTOS RUMO</a:t>
          </a:r>
        </a:p>
      </xdr:txBody>
    </xdr:sp>
    <xdr:clientData/>
  </xdr:twoCellAnchor>
  <xdr:twoCellAnchor>
    <xdr:from>
      <xdr:col>37</xdr:col>
      <xdr:colOff>98171</xdr:colOff>
      <xdr:row>78</xdr:row>
      <xdr:rowOff>78105</xdr:rowOff>
    </xdr:from>
    <xdr:to>
      <xdr:col>47</xdr:col>
      <xdr:colOff>88392</xdr:colOff>
      <xdr:row>86</xdr:row>
      <xdr:rowOff>103505</xdr:rowOff>
    </xdr:to>
    <xdr:sp macro="AbrirDetalhesDoCard" textlink="">
      <xdr:nvSpPr>
        <xdr:cNvPr id="869" name="Retângulo: Canto Dobrado 868">
          <a:extLst>
            <a:ext uri="{FF2B5EF4-FFF2-40B4-BE49-F238E27FC236}">
              <a16:creationId xmlns:a16="http://schemas.microsoft.com/office/drawing/2014/main" id="{C2EA0368-31A2-9D01-E97F-F7D60CBD1510}"/>
            </a:ext>
          </a:extLst>
        </xdr:cNvPr>
        <xdr:cNvSpPr/>
      </xdr:nvSpPr>
      <xdr:spPr>
        <a:xfrm>
          <a:off x="6794246" y="9736455"/>
          <a:ext cx="1799971" cy="1016000"/>
        </a:xfrm>
        <a:prstGeom prst="foldedCorner">
          <a:avLst/>
        </a:prstGeom>
        <a:solidFill>
          <a:srgbClr val="70AD47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PRIORIDADE - NORMAL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IBGE USIFIX</a:t>
          </a:r>
        </a:p>
      </xdr:txBody>
    </xdr:sp>
    <xdr:clientData/>
  </xdr:twoCellAnchor>
  <xdr:twoCellAnchor>
    <xdr:from>
      <xdr:col>55</xdr:col>
      <xdr:colOff>0</xdr:colOff>
      <xdr:row>11</xdr:row>
      <xdr:rowOff>0</xdr:rowOff>
    </xdr:from>
    <xdr:to>
      <xdr:col>64</xdr:col>
      <xdr:colOff>171196</xdr:colOff>
      <xdr:row>19</xdr:row>
      <xdr:rowOff>25400</xdr:rowOff>
    </xdr:to>
    <xdr:sp macro="AbrirDetalhesDoCard" textlink="">
      <xdr:nvSpPr>
        <xdr:cNvPr id="870" name="Retângulo: Canto Dobrado 869">
          <a:extLst>
            <a:ext uri="{FF2B5EF4-FFF2-40B4-BE49-F238E27FC236}">
              <a16:creationId xmlns:a16="http://schemas.microsoft.com/office/drawing/2014/main" id="{3B842C41-25B8-3634-ED50-B9480B3E8563}"/>
            </a:ext>
          </a:extLst>
        </xdr:cNvPr>
        <xdr:cNvSpPr/>
      </xdr:nvSpPr>
      <xdr:spPr>
        <a:xfrm>
          <a:off x="9953625" y="1362075"/>
          <a:ext cx="1799971" cy="1016000"/>
        </a:xfrm>
        <a:prstGeom prst="foldedCorner">
          <a:avLst/>
        </a:prstGeom>
        <a:solidFill>
          <a:srgbClr val="002060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PRIORIDADE - ALTA</a:t>
          </a:r>
        </a:p>
        <a:p>
          <a:pPr algn="l"/>
          <a:r>
            <a:rPr lang="pt-BR" sz="1100">
              <a:solidFill>
                <a:srgbClr val="FFFFFF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FFFFFF"/>
              </a:solidFill>
              <a:latin typeface="Calibri" panose="020F0502020204030204" pitchFamily="34" charset="0"/>
            </a:rPr>
            <a:t>RELATÓRIO FINANCEIRO</a:t>
          </a:r>
        </a:p>
      </xdr:txBody>
    </xdr:sp>
    <xdr:clientData/>
  </xdr:twoCellAnchor>
  <xdr:twoCellAnchor>
    <xdr:from>
      <xdr:col>65</xdr:col>
      <xdr:colOff>98171</xdr:colOff>
      <xdr:row>11</xdr:row>
      <xdr:rowOff>0</xdr:rowOff>
    </xdr:from>
    <xdr:to>
      <xdr:col>75</xdr:col>
      <xdr:colOff>88392</xdr:colOff>
      <xdr:row>19</xdr:row>
      <xdr:rowOff>25400</xdr:rowOff>
    </xdr:to>
    <xdr:sp macro="AbrirDetalhesDoCard" textlink="">
      <xdr:nvSpPr>
        <xdr:cNvPr id="871" name="Retângulo: Canto Dobrado 870">
          <a:extLst>
            <a:ext uri="{FF2B5EF4-FFF2-40B4-BE49-F238E27FC236}">
              <a16:creationId xmlns:a16="http://schemas.microsoft.com/office/drawing/2014/main" id="{9C1554D3-D224-5970-95F0-FB69EC4DC2BC}"/>
            </a:ext>
          </a:extLst>
        </xdr:cNvPr>
        <xdr:cNvSpPr/>
      </xdr:nvSpPr>
      <xdr:spPr>
        <a:xfrm>
          <a:off x="11861546" y="1362075"/>
          <a:ext cx="1799971" cy="1016000"/>
        </a:xfrm>
        <a:prstGeom prst="foldedCorner">
          <a:avLst/>
        </a:prstGeom>
        <a:solidFill>
          <a:srgbClr val="002060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PRIORIDADE - ALTA</a:t>
          </a:r>
        </a:p>
        <a:p>
          <a:pPr algn="l"/>
          <a:r>
            <a:rPr lang="pt-BR" sz="1100">
              <a:solidFill>
                <a:srgbClr val="FFFFFF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FFFFFF"/>
              </a:solidFill>
              <a:latin typeface="Calibri" panose="020F0502020204030204" pitchFamily="34" charset="0"/>
            </a:rPr>
            <a:t>RELATÓRIO METALPAR</a:t>
          </a:r>
        </a:p>
      </xdr:txBody>
    </xdr:sp>
    <xdr:clientData/>
  </xdr:twoCellAnchor>
  <xdr:twoCellAnchor>
    <xdr:from>
      <xdr:col>55</xdr:col>
      <xdr:colOff>0</xdr:colOff>
      <xdr:row>20</xdr:row>
      <xdr:rowOff>81915</xdr:rowOff>
    </xdr:from>
    <xdr:to>
      <xdr:col>64</xdr:col>
      <xdr:colOff>171196</xdr:colOff>
      <xdr:row>28</xdr:row>
      <xdr:rowOff>107315</xdr:rowOff>
    </xdr:to>
    <xdr:sp macro="AbrirDetalhesDoCard" textlink="">
      <xdr:nvSpPr>
        <xdr:cNvPr id="872" name="Retângulo: Canto Dobrado 871">
          <a:extLst>
            <a:ext uri="{FF2B5EF4-FFF2-40B4-BE49-F238E27FC236}">
              <a16:creationId xmlns:a16="http://schemas.microsoft.com/office/drawing/2014/main" id="{67C5DD2A-9349-3E50-F7FA-0A6822F17666}"/>
            </a:ext>
          </a:extLst>
        </xdr:cNvPr>
        <xdr:cNvSpPr/>
      </xdr:nvSpPr>
      <xdr:spPr>
        <a:xfrm>
          <a:off x="9953625" y="2558415"/>
          <a:ext cx="1799971" cy="1016000"/>
        </a:xfrm>
        <a:prstGeom prst="foldedCorner">
          <a:avLst/>
        </a:prstGeom>
        <a:solidFill>
          <a:srgbClr val="5B9BD5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PRIORIDADE - NORMAL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CONSIGNADOS</a:t>
          </a:r>
        </a:p>
      </xdr:txBody>
    </xdr:sp>
    <xdr:clientData/>
  </xdr:twoCellAnchor>
  <xdr:twoCellAnchor>
    <xdr:from>
      <xdr:col>65</xdr:col>
      <xdr:colOff>98171</xdr:colOff>
      <xdr:row>20</xdr:row>
      <xdr:rowOff>81915</xdr:rowOff>
    </xdr:from>
    <xdr:to>
      <xdr:col>75</xdr:col>
      <xdr:colOff>88392</xdr:colOff>
      <xdr:row>28</xdr:row>
      <xdr:rowOff>107315</xdr:rowOff>
    </xdr:to>
    <xdr:sp macro="AbrirDetalhesDoCard" textlink="">
      <xdr:nvSpPr>
        <xdr:cNvPr id="873" name="Retângulo: Canto Dobrado 872">
          <a:extLst>
            <a:ext uri="{FF2B5EF4-FFF2-40B4-BE49-F238E27FC236}">
              <a16:creationId xmlns:a16="http://schemas.microsoft.com/office/drawing/2014/main" id="{E85B166E-C519-F4B4-5E53-C070E198E407}"/>
            </a:ext>
          </a:extLst>
        </xdr:cNvPr>
        <xdr:cNvSpPr/>
      </xdr:nvSpPr>
      <xdr:spPr>
        <a:xfrm>
          <a:off x="11861546" y="2558415"/>
          <a:ext cx="1799971" cy="1016000"/>
        </a:xfrm>
        <a:prstGeom prst="foldedCorner">
          <a:avLst/>
        </a:prstGeom>
        <a:solidFill>
          <a:srgbClr val="5B9BD5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PRIORIDADE - NORMAL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TRANSFERIR COLABORADORES PARA USIFIX MATRIZ</a:t>
          </a:r>
        </a:p>
      </xdr:txBody>
    </xdr:sp>
    <xdr:clientData/>
  </xdr:twoCellAnchor>
  <xdr:twoCellAnchor>
    <xdr:from>
      <xdr:col>55</xdr:col>
      <xdr:colOff>0</xdr:colOff>
      <xdr:row>30</xdr:row>
      <xdr:rowOff>40005</xdr:rowOff>
    </xdr:from>
    <xdr:to>
      <xdr:col>64</xdr:col>
      <xdr:colOff>171196</xdr:colOff>
      <xdr:row>38</xdr:row>
      <xdr:rowOff>65405</xdr:rowOff>
    </xdr:to>
    <xdr:sp macro="AbrirDetalhesDoCard" textlink="">
      <xdr:nvSpPr>
        <xdr:cNvPr id="874" name="Retângulo: Canto Dobrado 873">
          <a:extLst>
            <a:ext uri="{FF2B5EF4-FFF2-40B4-BE49-F238E27FC236}">
              <a16:creationId xmlns:a16="http://schemas.microsoft.com/office/drawing/2014/main" id="{A14F8B47-AC71-79E4-89DE-E2DE5A44AF13}"/>
            </a:ext>
          </a:extLst>
        </xdr:cNvPr>
        <xdr:cNvSpPr/>
      </xdr:nvSpPr>
      <xdr:spPr>
        <a:xfrm>
          <a:off x="9953625" y="3754755"/>
          <a:ext cx="1799971" cy="1016000"/>
        </a:xfrm>
        <a:prstGeom prst="foldedCorner">
          <a:avLst/>
        </a:prstGeom>
        <a:solidFill>
          <a:srgbClr val="DAE3F3"/>
        </a:solidFill>
        <a:ln>
          <a:solidFill>
            <a:srgbClr val="C8C8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PRIORIDADE - BAIXA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-</a:t>
          </a:r>
        </a:p>
        <a:p>
          <a:pPr algn="l"/>
          <a:r>
            <a:rPr lang="pt-BR" sz="1100">
              <a:solidFill>
                <a:srgbClr val="000000"/>
              </a:solidFill>
              <a:latin typeface="Calibri" panose="020F0502020204030204" pitchFamily="34" charset="0"/>
            </a:rPr>
            <a:t>DECLARAÇÃO DE FATURAMENTO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133351</xdr:colOff>
      <xdr:row>0</xdr:row>
      <xdr:rowOff>104775</xdr:rowOff>
    </xdr:from>
    <xdr:to>
      <xdr:col>13</xdr:col>
      <xdr:colOff>85725</xdr:colOff>
      <xdr:row>0</xdr:row>
      <xdr:rowOff>552450</xdr:rowOff>
    </xdr:to>
    <xdr:sp macro="[0]!Planilha2.CriarNovaTaref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2C37FED-91E1-05E3-5349-BEFE25EE0DE5}"/>
            </a:ext>
          </a:extLst>
        </xdr:cNvPr>
        <xdr:cNvSpPr/>
      </xdr:nvSpPr>
      <xdr:spPr>
        <a:xfrm>
          <a:off x="12353926" y="104775"/>
          <a:ext cx="1171574" cy="447675"/>
        </a:xfrm>
        <a:prstGeom prst="roundRect">
          <a:avLst/>
        </a:prstGeom>
        <a:solidFill>
          <a:schemeClr val="accent1"/>
        </a:solidFill>
        <a:ln w="285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NOVA TAREFA</a:t>
          </a:r>
        </a:p>
      </xdr:txBody>
    </xdr:sp>
    <xdr:clientData/>
  </xdr:twoCellAnchor>
  <xdr:twoCellAnchor>
    <xdr:from>
      <xdr:col>17</xdr:col>
      <xdr:colOff>209550</xdr:colOff>
      <xdr:row>0</xdr:row>
      <xdr:rowOff>190500</xdr:rowOff>
    </xdr:from>
    <xdr:to>
      <xdr:col>17</xdr:col>
      <xdr:colOff>552450</xdr:colOff>
      <xdr:row>0</xdr:row>
      <xdr:rowOff>428627</xdr:rowOff>
    </xdr:to>
    <xdr:sp macro="[0]!EstaPastaDeTrabalho.MostrarInterface" textlink="">
      <xdr:nvSpPr>
        <xdr:cNvPr id="7" name="Minimizar">
          <a:extLst>
            <a:ext uri="{FF2B5EF4-FFF2-40B4-BE49-F238E27FC236}">
              <a16:creationId xmlns:a16="http://schemas.microsoft.com/office/drawing/2014/main" id="{D93FCA1B-FC17-4113-80CA-80F72C60D060}"/>
            </a:ext>
          </a:extLst>
        </xdr:cNvPr>
        <xdr:cNvSpPr/>
      </xdr:nvSpPr>
      <xdr:spPr>
        <a:xfrm>
          <a:off x="16840200" y="190500"/>
          <a:ext cx="342900" cy="238127"/>
        </a:xfrm>
        <a:prstGeom prst="mathMinu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238125</xdr:colOff>
      <xdr:row>0</xdr:row>
      <xdr:rowOff>190503</xdr:rowOff>
    </xdr:from>
    <xdr:to>
      <xdr:col>18</xdr:col>
      <xdr:colOff>466725</xdr:colOff>
      <xdr:row>0</xdr:row>
      <xdr:rowOff>390525</xdr:rowOff>
    </xdr:to>
    <xdr:sp macro="[0]!EstaPastaDeTrabalho.OcultarInterface" textlink="">
      <xdr:nvSpPr>
        <xdr:cNvPr id="8" name="Quadro 7">
          <a:extLst>
            <a:ext uri="{FF2B5EF4-FFF2-40B4-BE49-F238E27FC236}">
              <a16:creationId xmlns:a16="http://schemas.microsoft.com/office/drawing/2014/main" id="{375FA64E-FDBD-432E-97B3-E1EF3FE9ECA6}"/>
            </a:ext>
          </a:extLst>
        </xdr:cNvPr>
        <xdr:cNvSpPr/>
      </xdr:nvSpPr>
      <xdr:spPr>
        <a:xfrm>
          <a:off x="17478375" y="190503"/>
          <a:ext cx="228600" cy="200022"/>
        </a:xfrm>
        <a:prstGeom prst="fram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409574</xdr:colOff>
      <xdr:row>0</xdr:row>
      <xdr:rowOff>76200</xdr:rowOff>
    </xdr:from>
    <xdr:to>
      <xdr:col>15</xdr:col>
      <xdr:colOff>495299</xdr:colOff>
      <xdr:row>0</xdr:row>
      <xdr:rowOff>523875</xdr:rowOff>
    </xdr:to>
    <xdr:sp macro="[0]!EstaPastaDeTrabalho.ExcluirLinhaSelecionadaDaTabela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361C6EFE-5520-4C9E-A02D-93B850229454}"/>
            </a:ext>
          </a:extLst>
        </xdr:cNvPr>
        <xdr:cNvSpPr/>
      </xdr:nvSpPr>
      <xdr:spPr>
        <a:xfrm>
          <a:off x="13849349" y="76200"/>
          <a:ext cx="1304925" cy="447675"/>
        </a:xfrm>
        <a:prstGeom prst="roundRect">
          <a:avLst/>
        </a:prstGeom>
        <a:solidFill>
          <a:srgbClr val="FFFF00"/>
        </a:solidFill>
        <a:ln w="285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0000"/>
              </a:solidFill>
            </a:rPr>
            <a:t>EXCLUIR LINHA</a:t>
          </a:r>
        </a:p>
      </xdr:txBody>
    </xdr:sp>
    <xdr:clientData/>
  </xdr:twoCellAnchor>
  <xdr:twoCellAnchor editAs="oneCell">
    <xdr:from>
      <xdr:col>16</xdr:col>
      <xdr:colOff>76200</xdr:colOff>
      <xdr:row>0</xdr:row>
      <xdr:rowOff>0</xdr:rowOff>
    </xdr:from>
    <xdr:to>
      <xdr:col>17</xdr:col>
      <xdr:colOff>85725</xdr:colOff>
      <xdr:row>0</xdr:row>
      <xdr:rowOff>619125</xdr:rowOff>
    </xdr:to>
    <xdr:pic macro="[0]!EstaPastaDeTrabalho.SalvarPlanilha">
      <xdr:nvPicPr>
        <xdr:cNvPr id="3" name="Imagem 2">
          <a:extLst>
            <a:ext uri="{FF2B5EF4-FFF2-40B4-BE49-F238E27FC236}">
              <a16:creationId xmlns:a16="http://schemas.microsoft.com/office/drawing/2014/main" id="{8954B27C-95E3-4C0C-BE4D-FB21ED65E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7250" y="0"/>
          <a:ext cx="619125" cy="6191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238125</xdr:colOff>
      <xdr:row>0</xdr:row>
      <xdr:rowOff>114300</xdr:rowOff>
    </xdr:from>
    <xdr:to>
      <xdr:col>13</xdr:col>
      <xdr:colOff>361950</xdr:colOff>
      <xdr:row>0</xdr:row>
      <xdr:rowOff>561975</xdr:rowOff>
    </xdr:to>
    <xdr:sp macro="[0]!EstaPastaDeTrabalho.ExcluirLinhaSelecionadaDaTabela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51ED2F0E-941F-4D07-9548-66361B220D8F}"/>
            </a:ext>
          </a:extLst>
        </xdr:cNvPr>
        <xdr:cNvSpPr/>
      </xdr:nvSpPr>
      <xdr:spPr>
        <a:xfrm>
          <a:off x="11325225" y="114300"/>
          <a:ext cx="1304925" cy="447675"/>
        </a:xfrm>
        <a:prstGeom prst="roundRect">
          <a:avLst/>
        </a:prstGeom>
        <a:solidFill>
          <a:srgbClr val="FFFF00"/>
        </a:solidFill>
        <a:ln w="285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0000"/>
              </a:solidFill>
            </a:rPr>
            <a:t>EXCLUIR LINHA</a:t>
          </a:r>
        </a:p>
      </xdr:txBody>
    </xdr:sp>
    <xdr:clientData/>
  </xdr:twoCellAnchor>
  <xdr:twoCellAnchor>
    <xdr:from>
      <xdr:col>15</xdr:col>
      <xdr:colOff>504825</xdr:colOff>
      <xdr:row>0</xdr:row>
      <xdr:rowOff>200025</xdr:rowOff>
    </xdr:from>
    <xdr:to>
      <xdr:col>16</xdr:col>
      <xdr:colOff>238125</xdr:colOff>
      <xdr:row>0</xdr:row>
      <xdr:rowOff>438152</xdr:rowOff>
    </xdr:to>
    <xdr:sp macro="[0]!EstaPastaDeTrabalho.MostrarInterface" textlink="">
      <xdr:nvSpPr>
        <xdr:cNvPr id="10" name="Minimizar">
          <a:extLst>
            <a:ext uri="{FF2B5EF4-FFF2-40B4-BE49-F238E27FC236}">
              <a16:creationId xmlns:a16="http://schemas.microsoft.com/office/drawing/2014/main" id="{9DAC8BB7-5861-413F-8FAB-153B87B40B2B}"/>
            </a:ext>
          </a:extLst>
        </xdr:cNvPr>
        <xdr:cNvSpPr/>
      </xdr:nvSpPr>
      <xdr:spPr>
        <a:xfrm>
          <a:off x="17040225" y="200025"/>
          <a:ext cx="342900" cy="238127"/>
        </a:xfrm>
        <a:prstGeom prst="mathMinu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533400</xdr:colOff>
      <xdr:row>0</xdr:row>
      <xdr:rowOff>200028</xdr:rowOff>
    </xdr:from>
    <xdr:to>
      <xdr:col>17</xdr:col>
      <xdr:colOff>152400</xdr:colOff>
      <xdr:row>0</xdr:row>
      <xdr:rowOff>400050</xdr:rowOff>
    </xdr:to>
    <xdr:sp macro="[0]!EstaPastaDeTrabalho.OcultarInterface" textlink="">
      <xdr:nvSpPr>
        <xdr:cNvPr id="11" name="Quadro 10">
          <a:extLst>
            <a:ext uri="{FF2B5EF4-FFF2-40B4-BE49-F238E27FC236}">
              <a16:creationId xmlns:a16="http://schemas.microsoft.com/office/drawing/2014/main" id="{8E02C6C9-4676-4A54-9D93-50C3E803847F}"/>
            </a:ext>
          </a:extLst>
        </xdr:cNvPr>
        <xdr:cNvSpPr/>
      </xdr:nvSpPr>
      <xdr:spPr>
        <a:xfrm>
          <a:off x="17678400" y="200028"/>
          <a:ext cx="228600" cy="200022"/>
        </a:xfrm>
        <a:prstGeom prst="fram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14</xdr:col>
      <xdr:colOff>342900</xdr:colOff>
      <xdr:row>0</xdr:row>
      <xdr:rowOff>0</xdr:rowOff>
    </xdr:from>
    <xdr:to>
      <xdr:col>15</xdr:col>
      <xdr:colOff>352425</xdr:colOff>
      <xdr:row>0</xdr:row>
      <xdr:rowOff>619125</xdr:rowOff>
    </xdr:to>
    <xdr:pic macro="[0]!EstaPastaDeTrabalho.SalvarPlanilha">
      <xdr:nvPicPr>
        <xdr:cNvPr id="3" name="Imagem 2">
          <a:extLst>
            <a:ext uri="{FF2B5EF4-FFF2-40B4-BE49-F238E27FC236}">
              <a16:creationId xmlns:a16="http://schemas.microsoft.com/office/drawing/2014/main" id="{F71CB683-8F68-43F4-B403-035B5A2F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8700" y="0"/>
          <a:ext cx="619125" cy="6191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247650</xdr:colOff>
      <xdr:row>0</xdr:row>
      <xdr:rowOff>104775</xdr:rowOff>
    </xdr:from>
    <xdr:to>
      <xdr:col>15</xdr:col>
      <xdr:colOff>333375</xdr:colOff>
      <xdr:row>0</xdr:row>
      <xdr:rowOff>552450</xdr:rowOff>
    </xdr:to>
    <xdr:sp macro="[0]!EstaPastaDeTrabalho.ExcluirLinhaSelecionadaDaTabel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1C607DC-CC64-431B-8546-3A2298C98946}"/>
            </a:ext>
          </a:extLst>
        </xdr:cNvPr>
        <xdr:cNvSpPr/>
      </xdr:nvSpPr>
      <xdr:spPr>
        <a:xfrm>
          <a:off x="14211300" y="104775"/>
          <a:ext cx="1304925" cy="447675"/>
        </a:xfrm>
        <a:prstGeom prst="roundRect">
          <a:avLst/>
        </a:prstGeom>
        <a:solidFill>
          <a:srgbClr val="FFFF00"/>
        </a:solidFill>
        <a:ln w="285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0000"/>
              </a:solidFill>
            </a:rPr>
            <a:t>EXCLUIR LINHA</a:t>
          </a:r>
        </a:p>
      </xdr:txBody>
    </xdr:sp>
    <xdr:clientData/>
  </xdr:twoCellAnchor>
  <xdr:twoCellAnchor>
    <xdr:from>
      <xdr:col>18</xdr:col>
      <xdr:colOff>95250</xdr:colOff>
      <xdr:row>0</xdr:row>
      <xdr:rowOff>209550</xdr:rowOff>
    </xdr:from>
    <xdr:to>
      <xdr:col>18</xdr:col>
      <xdr:colOff>438150</xdr:colOff>
      <xdr:row>0</xdr:row>
      <xdr:rowOff>447677</xdr:rowOff>
    </xdr:to>
    <xdr:sp macro="[0]!EstaPastaDeTrabalho.MostrarInterface" textlink="">
      <xdr:nvSpPr>
        <xdr:cNvPr id="7" name="Minimizar">
          <a:extLst>
            <a:ext uri="{FF2B5EF4-FFF2-40B4-BE49-F238E27FC236}">
              <a16:creationId xmlns:a16="http://schemas.microsoft.com/office/drawing/2014/main" id="{31658E5D-BB10-4E9C-BB97-81F338F71F83}"/>
            </a:ext>
          </a:extLst>
        </xdr:cNvPr>
        <xdr:cNvSpPr/>
      </xdr:nvSpPr>
      <xdr:spPr>
        <a:xfrm>
          <a:off x="17106900" y="209550"/>
          <a:ext cx="342900" cy="238127"/>
        </a:xfrm>
        <a:prstGeom prst="mathMinu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123825</xdr:colOff>
      <xdr:row>0</xdr:row>
      <xdr:rowOff>209553</xdr:rowOff>
    </xdr:from>
    <xdr:to>
      <xdr:col>19</xdr:col>
      <xdr:colOff>352425</xdr:colOff>
      <xdr:row>0</xdr:row>
      <xdr:rowOff>409575</xdr:rowOff>
    </xdr:to>
    <xdr:sp macro="[0]!EstaPastaDeTrabalho.OcultarInterface" textlink="">
      <xdr:nvSpPr>
        <xdr:cNvPr id="8" name="Quadro 7">
          <a:extLst>
            <a:ext uri="{FF2B5EF4-FFF2-40B4-BE49-F238E27FC236}">
              <a16:creationId xmlns:a16="http://schemas.microsoft.com/office/drawing/2014/main" id="{8AE5A271-AC40-4C15-A2F1-E0F12803A8DA}"/>
            </a:ext>
          </a:extLst>
        </xdr:cNvPr>
        <xdr:cNvSpPr/>
      </xdr:nvSpPr>
      <xdr:spPr>
        <a:xfrm>
          <a:off x="17745075" y="209553"/>
          <a:ext cx="228600" cy="200022"/>
        </a:xfrm>
        <a:prstGeom prst="fram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16</xdr:col>
      <xdr:colOff>561976</xdr:colOff>
      <xdr:row>0</xdr:row>
      <xdr:rowOff>0</xdr:rowOff>
    </xdr:from>
    <xdr:to>
      <xdr:col>17</xdr:col>
      <xdr:colOff>571501</xdr:colOff>
      <xdr:row>0</xdr:row>
      <xdr:rowOff>619125</xdr:rowOff>
    </xdr:to>
    <xdr:pic macro="[0]!EstaPastaDeTrabalho.SalvarPlanilha">
      <xdr:nvPicPr>
        <xdr:cNvPr id="3" name="Imagem 2">
          <a:extLst>
            <a:ext uri="{FF2B5EF4-FFF2-40B4-BE49-F238E27FC236}">
              <a16:creationId xmlns:a16="http://schemas.microsoft.com/office/drawing/2014/main" id="{9E99C6F2-49CE-22CB-B764-3B1822222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54426" y="0"/>
          <a:ext cx="619125" cy="6191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21</xdr:col>
      <xdr:colOff>19050</xdr:colOff>
      <xdr:row>52</xdr:row>
      <xdr:rowOff>28575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97266CF-EADF-6AC5-0D1B-B48533BFCA75}"/>
            </a:ext>
          </a:extLst>
        </xdr:cNvPr>
        <xdr:cNvSpPr/>
      </xdr:nvSpPr>
      <xdr:spPr>
        <a:xfrm>
          <a:off x="0" y="0"/>
          <a:ext cx="18821400" cy="9934575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781050</xdr:colOff>
      <xdr:row>7</xdr:row>
      <xdr:rowOff>123824</xdr:rowOff>
    </xdr:from>
    <xdr:to>
      <xdr:col>3</xdr:col>
      <xdr:colOff>472125</xdr:colOff>
      <xdr:row>12</xdr:row>
      <xdr:rowOff>107324</xdr:rowOff>
    </xdr:to>
    <xdr:sp macro="" textlink="$S$4">
      <xdr:nvSpPr>
        <xdr:cNvPr id="2" name="Retângulo: Cantos Arredondados 1">
          <a:extLst>
            <a:ext uri="{FF2B5EF4-FFF2-40B4-BE49-F238E27FC236}">
              <a16:creationId xmlns:a16="http://schemas.microsoft.com/office/drawing/2014/main" id="{8A8EBAC5-DFB0-EEE3-EAFD-2728F21608BD}"/>
            </a:ext>
          </a:extLst>
        </xdr:cNvPr>
        <xdr:cNvSpPr/>
      </xdr:nvSpPr>
      <xdr:spPr>
        <a:xfrm>
          <a:off x="781050" y="1457324"/>
          <a:ext cx="2520000" cy="936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6739F22-6E2E-40BA-B146-A67A8040C360}" type="TxLink">
            <a:rPr lang="en-US" sz="7200" b="1" i="0" u="none" strike="noStrike">
              <a:solidFill>
                <a:srgbClr val="003300"/>
              </a:solidFill>
              <a:latin typeface="Calibri"/>
              <a:cs typeface="Calibri"/>
            </a:rPr>
            <a:pPr algn="ctr"/>
            <a:t>39</a:t>
          </a:fld>
          <a:endParaRPr lang="pt-BR" sz="7200" b="1">
            <a:solidFill>
              <a:srgbClr val="003300"/>
            </a:solidFill>
          </a:endParaRPr>
        </a:p>
      </xdr:txBody>
    </xdr:sp>
    <xdr:clientData/>
  </xdr:twoCellAnchor>
  <xdr:twoCellAnchor>
    <xdr:from>
      <xdr:col>4</xdr:col>
      <xdr:colOff>359569</xdr:colOff>
      <xdr:row>7</xdr:row>
      <xdr:rowOff>111918</xdr:rowOff>
    </xdr:from>
    <xdr:to>
      <xdr:col>6</xdr:col>
      <xdr:colOff>307819</xdr:colOff>
      <xdr:row>12</xdr:row>
      <xdr:rowOff>95418</xdr:rowOff>
    </xdr:to>
    <xdr:sp macro="" textlink="$T$4">
      <xdr:nvSpPr>
        <xdr:cNvPr id="3" name="Retângulo: Cantos Arredondados 2">
          <a:extLst>
            <a:ext uri="{FF2B5EF4-FFF2-40B4-BE49-F238E27FC236}">
              <a16:creationId xmlns:a16="http://schemas.microsoft.com/office/drawing/2014/main" id="{55C6F19F-87A6-4373-8030-53A598274249}"/>
            </a:ext>
          </a:extLst>
        </xdr:cNvPr>
        <xdr:cNvSpPr/>
      </xdr:nvSpPr>
      <xdr:spPr>
        <a:xfrm>
          <a:off x="3836194" y="1445418"/>
          <a:ext cx="1634175" cy="936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EC9F81F-66F5-4566-9FDB-51B31938882B}" type="TxLink">
            <a:rPr lang="en-US" sz="7200" b="1" i="0" u="none" strike="noStrike">
              <a:solidFill>
                <a:srgbClr val="003300"/>
              </a:solidFill>
              <a:latin typeface="Calibri"/>
              <a:cs typeface="Calibri"/>
            </a:rPr>
            <a:pPr algn="ctr"/>
            <a:t>9</a:t>
          </a:fld>
          <a:endParaRPr lang="pt-BR" sz="7200" b="1">
            <a:solidFill>
              <a:srgbClr val="003300"/>
            </a:solidFill>
          </a:endParaRPr>
        </a:p>
      </xdr:txBody>
    </xdr:sp>
    <xdr:clientData/>
  </xdr:twoCellAnchor>
  <xdr:twoCellAnchor>
    <xdr:from>
      <xdr:col>6</xdr:col>
      <xdr:colOff>1138238</xdr:colOff>
      <xdr:row>7</xdr:row>
      <xdr:rowOff>109537</xdr:rowOff>
    </xdr:from>
    <xdr:to>
      <xdr:col>9</xdr:col>
      <xdr:colOff>905513</xdr:colOff>
      <xdr:row>12</xdr:row>
      <xdr:rowOff>93037</xdr:rowOff>
    </xdr:to>
    <xdr:sp macro="" textlink="$U$4">
      <xdr:nvSpPr>
        <xdr:cNvPr id="4" name="Retângulo: Cantos Arredondados 3">
          <a:extLst>
            <a:ext uri="{FF2B5EF4-FFF2-40B4-BE49-F238E27FC236}">
              <a16:creationId xmlns:a16="http://schemas.microsoft.com/office/drawing/2014/main" id="{75760188-27EE-4285-8E65-A5FA886510C4}"/>
            </a:ext>
          </a:extLst>
        </xdr:cNvPr>
        <xdr:cNvSpPr/>
      </xdr:nvSpPr>
      <xdr:spPr>
        <a:xfrm>
          <a:off x="6300788" y="1443037"/>
          <a:ext cx="2615250" cy="936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8B86447-5F5A-4065-8481-CAC683030461}" type="TxLink">
            <a:rPr lang="en-US" sz="7200" b="1" i="0" u="none" strike="noStrike">
              <a:solidFill>
                <a:srgbClr val="003300"/>
              </a:solidFill>
              <a:latin typeface="Calibri"/>
              <a:cs typeface="Calibri"/>
            </a:rPr>
            <a:pPr algn="ctr"/>
            <a:t>17</a:t>
          </a:fld>
          <a:endParaRPr lang="pt-BR" sz="7200" b="1">
            <a:solidFill>
              <a:srgbClr val="003300"/>
            </a:solidFill>
          </a:endParaRPr>
        </a:p>
      </xdr:txBody>
    </xdr:sp>
    <xdr:clientData/>
  </xdr:twoCellAnchor>
  <xdr:twoCellAnchor>
    <xdr:from>
      <xdr:col>16</xdr:col>
      <xdr:colOff>590551</xdr:colOff>
      <xdr:row>7</xdr:row>
      <xdr:rowOff>154781</xdr:rowOff>
    </xdr:from>
    <xdr:to>
      <xdr:col>19</xdr:col>
      <xdr:colOff>238126</xdr:colOff>
      <xdr:row>12</xdr:row>
      <xdr:rowOff>138281</xdr:rowOff>
    </xdr:to>
    <xdr:sp macro="" textlink="$V$4">
      <xdr:nvSpPr>
        <xdr:cNvPr id="5" name="Retângulo: Cantos Arredondados 4">
          <a:extLst>
            <a:ext uri="{FF2B5EF4-FFF2-40B4-BE49-F238E27FC236}">
              <a16:creationId xmlns:a16="http://schemas.microsoft.com/office/drawing/2014/main" id="{A0693A91-7358-4100-957A-269CFE519FD1}"/>
            </a:ext>
          </a:extLst>
        </xdr:cNvPr>
        <xdr:cNvSpPr/>
      </xdr:nvSpPr>
      <xdr:spPr>
        <a:xfrm>
          <a:off x="13592176" y="1488281"/>
          <a:ext cx="2657475" cy="936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9D79C4D-3056-454E-BFB5-491C2786FC4D}" type="TxLink">
            <a:rPr lang="en-US" sz="7200" b="1" i="0" u="none" strike="noStrike">
              <a:solidFill>
                <a:srgbClr val="003300"/>
              </a:solidFill>
              <a:latin typeface="Calibri"/>
              <a:cs typeface="Calibri"/>
            </a:rPr>
            <a:pPr algn="ctr"/>
            <a:t>18,2</a:t>
          </a:fld>
          <a:endParaRPr lang="pt-BR" sz="7200" b="1">
            <a:solidFill>
              <a:srgbClr val="003300"/>
            </a:solidFill>
          </a:endParaRPr>
        </a:p>
      </xdr:txBody>
    </xdr:sp>
    <xdr:clientData/>
  </xdr:twoCellAnchor>
  <xdr:twoCellAnchor>
    <xdr:from>
      <xdr:col>11</xdr:col>
      <xdr:colOff>135732</xdr:colOff>
      <xdr:row>7</xdr:row>
      <xdr:rowOff>104774</xdr:rowOff>
    </xdr:from>
    <xdr:to>
      <xdr:col>14</xdr:col>
      <xdr:colOff>826932</xdr:colOff>
      <xdr:row>12</xdr:row>
      <xdr:rowOff>88274</xdr:rowOff>
    </xdr:to>
    <xdr:sp macro="" textlink="$W$4">
      <xdr:nvSpPr>
        <xdr:cNvPr id="6" name="Retângulo: Cantos Arredondados 5">
          <a:extLst>
            <a:ext uri="{FF2B5EF4-FFF2-40B4-BE49-F238E27FC236}">
              <a16:creationId xmlns:a16="http://schemas.microsoft.com/office/drawing/2014/main" id="{F8EA2C5C-312A-46DC-A861-89233A570A94}"/>
            </a:ext>
          </a:extLst>
        </xdr:cNvPr>
        <xdr:cNvSpPr/>
      </xdr:nvSpPr>
      <xdr:spPr>
        <a:xfrm>
          <a:off x="9870282" y="1438274"/>
          <a:ext cx="2520000" cy="936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008E84F-5EA1-41FE-9082-BBEB763DA8B6}" type="TxLink">
            <a:rPr lang="en-US" sz="7200" b="1" i="0" u="none" strike="noStrike">
              <a:solidFill>
                <a:srgbClr val="003300"/>
              </a:solidFill>
              <a:latin typeface="Calibri"/>
              <a:cs typeface="Calibri"/>
            </a:rPr>
            <a:pPr algn="ctr"/>
            <a:t>65</a:t>
          </a:fld>
          <a:endParaRPr lang="pt-BR" sz="7200" b="1">
            <a:solidFill>
              <a:srgbClr val="003300"/>
            </a:solidFill>
          </a:endParaRPr>
        </a:p>
      </xdr:txBody>
    </xdr:sp>
    <xdr:clientData/>
  </xdr:twoCellAnchor>
  <xdr:twoCellAnchor>
    <xdr:from>
      <xdr:col>0</xdr:col>
      <xdr:colOff>981075</xdr:colOff>
      <xdr:row>2</xdr:row>
      <xdr:rowOff>85725</xdr:rowOff>
    </xdr:from>
    <xdr:to>
      <xdr:col>3</xdr:col>
      <xdr:colOff>333375</xdr:colOff>
      <xdr:row>4</xdr:row>
      <xdr:rowOff>142875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902A0545-84FC-DF51-DA1E-BB56E37B94F9}"/>
            </a:ext>
          </a:extLst>
        </xdr:cNvPr>
        <xdr:cNvSpPr/>
      </xdr:nvSpPr>
      <xdr:spPr>
        <a:xfrm>
          <a:off x="981075" y="466725"/>
          <a:ext cx="2181225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solidFill>
                <a:schemeClr val="accent6">
                  <a:lumMod val="20000"/>
                  <a:lumOff val="80000"/>
                </a:schemeClr>
              </a:solidFill>
            </a:rPr>
            <a:t>A REALIZAR</a:t>
          </a:r>
        </a:p>
      </xdr:txBody>
    </xdr:sp>
    <xdr:clientData/>
  </xdr:twoCellAnchor>
  <xdr:twoCellAnchor>
    <xdr:from>
      <xdr:col>3</xdr:col>
      <xdr:colOff>476250</xdr:colOff>
      <xdr:row>1</xdr:row>
      <xdr:rowOff>9525</xdr:rowOff>
    </xdr:from>
    <xdr:to>
      <xdr:col>6</xdr:col>
      <xdr:colOff>847725</xdr:colOff>
      <xdr:row>8</xdr:row>
      <xdr:rowOff>1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74A5E801-02FE-484E-9E4A-D5F7BE7C0E16}"/>
            </a:ext>
          </a:extLst>
        </xdr:cNvPr>
        <xdr:cNvSpPr/>
      </xdr:nvSpPr>
      <xdr:spPr>
        <a:xfrm>
          <a:off x="3305175" y="200025"/>
          <a:ext cx="2705100" cy="13239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solidFill>
                <a:schemeClr val="accent6">
                  <a:lumMod val="20000"/>
                  <a:lumOff val="80000"/>
                </a:schemeClr>
              </a:solidFill>
            </a:rPr>
            <a:t>EM ANDAMENTO</a:t>
          </a:r>
        </a:p>
      </xdr:txBody>
    </xdr:sp>
    <xdr:clientData/>
  </xdr:twoCellAnchor>
  <xdr:twoCellAnchor>
    <xdr:from>
      <xdr:col>6</xdr:col>
      <xdr:colOff>1104900</xdr:colOff>
      <xdr:row>2</xdr:row>
      <xdr:rowOff>47625</xdr:rowOff>
    </xdr:from>
    <xdr:to>
      <xdr:col>9</xdr:col>
      <xdr:colOff>838200</xdr:colOff>
      <xdr:row>4</xdr:row>
      <xdr:rowOff>104775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3AFB9AC4-C666-4BA2-8928-1B314ADA7B20}"/>
            </a:ext>
          </a:extLst>
        </xdr:cNvPr>
        <xdr:cNvSpPr/>
      </xdr:nvSpPr>
      <xdr:spPr>
        <a:xfrm>
          <a:off x="6267450" y="428625"/>
          <a:ext cx="2581275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solidFill>
                <a:schemeClr val="accent6">
                  <a:lumMod val="20000"/>
                  <a:lumOff val="80000"/>
                </a:schemeClr>
              </a:solidFill>
            </a:rPr>
            <a:t>CONCLUÍDAS</a:t>
          </a:r>
        </a:p>
      </xdr:txBody>
    </xdr:sp>
    <xdr:clientData/>
  </xdr:twoCellAnchor>
  <xdr:twoCellAnchor>
    <xdr:from>
      <xdr:col>10</xdr:col>
      <xdr:colOff>447675</xdr:colOff>
      <xdr:row>2</xdr:row>
      <xdr:rowOff>47625</xdr:rowOff>
    </xdr:from>
    <xdr:to>
      <xdr:col>15</xdr:col>
      <xdr:colOff>171450</xdr:colOff>
      <xdr:row>4</xdr:row>
      <xdr:rowOff>104775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E347D4F3-1FAF-4AAD-8E07-17FA8A2A48FF}"/>
            </a:ext>
          </a:extLst>
        </xdr:cNvPr>
        <xdr:cNvSpPr/>
      </xdr:nvSpPr>
      <xdr:spPr>
        <a:xfrm>
          <a:off x="9477375" y="428625"/>
          <a:ext cx="3028950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solidFill>
                <a:schemeClr val="accent6">
                  <a:lumMod val="20000"/>
                  <a:lumOff val="80000"/>
                </a:schemeClr>
              </a:solidFill>
            </a:rPr>
            <a:t>TOTAL</a:t>
          </a:r>
          <a:r>
            <a:rPr lang="pt-BR" sz="2800" b="1" baseline="0">
              <a:solidFill>
                <a:schemeClr val="accent6">
                  <a:lumMod val="20000"/>
                  <a:lumOff val="80000"/>
                </a:schemeClr>
              </a:solidFill>
            </a:rPr>
            <a:t> DE TAREFAS</a:t>
          </a:r>
          <a:endParaRPr lang="pt-BR" sz="2800" b="1">
            <a:solidFill>
              <a:schemeClr val="accent6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15</xdr:col>
      <xdr:colOff>600075</xdr:colOff>
      <xdr:row>1</xdr:row>
      <xdr:rowOff>142875</xdr:rowOff>
    </xdr:from>
    <xdr:to>
      <xdr:col>19</xdr:col>
      <xdr:colOff>619125</xdr:colOff>
      <xdr:row>7</xdr:row>
      <xdr:rowOff>76200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EB80C205-CAE3-4A03-B8CE-BC7A1103741F}"/>
            </a:ext>
          </a:extLst>
        </xdr:cNvPr>
        <xdr:cNvSpPr/>
      </xdr:nvSpPr>
      <xdr:spPr>
        <a:xfrm>
          <a:off x="12934950" y="333375"/>
          <a:ext cx="3476625" cy="1076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solidFill>
                <a:schemeClr val="accent6">
                  <a:lumMod val="20000"/>
                  <a:lumOff val="80000"/>
                </a:schemeClr>
              </a:solidFill>
            </a:rPr>
            <a:t>MÉDIA DE DIAS PARA CONCLUSÃO</a:t>
          </a:r>
        </a:p>
      </xdr:txBody>
    </xdr:sp>
    <xdr:clientData/>
  </xdr:twoCellAnchor>
  <xdr:twoCellAnchor editAs="oneCell">
    <xdr:from>
      <xdr:col>14</xdr:col>
      <xdr:colOff>576488</xdr:colOff>
      <xdr:row>14</xdr:row>
      <xdr:rowOff>68036</xdr:rowOff>
    </xdr:from>
    <xdr:to>
      <xdr:col>20</xdr:col>
      <xdr:colOff>521969</xdr:colOff>
      <xdr:row>31</xdr:row>
      <xdr:rowOff>13608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ESES 1">
              <a:extLst>
                <a:ext uri="{FF2B5EF4-FFF2-40B4-BE49-F238E27FC236}">
                  <a16:creationId xmlns:a16="http://schemas.microsoft.com/office/drawing/2014/main" id="{78A472C6-44E2-0885-3C88-37B6AE55143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82688" y="2735036"/>
              <a:ext cx="5953125" cy="31840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76200</xdr:colOff>
      <xdr:row>14</xdr:row>
      <xdr:rowOff>71436</xdr:rowOff>
    </xdr:from>
    <xdr:to>
      <xdr:col>6</xdr:col>
      <xdr:colOff>847725</xdr:colOff>
      <xdr:row>31</xdr:row>
      <xdr:rowOff>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463A9A9E-3F1C-FB0F-F88F-65A0F65A00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904875</xdr:colOff>
      <xdr:row>14</xdr:row>
      <xdr:rowOff>76200</xdr:rowOff>
    </xdr:from>
    <xdr:to>
      <xdr:col>14</xdr:col>
      <xdr:colOff>514350</xdr:colOff>
      <xdr:row>31</xdr:row>
      <xdr:rowOff>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F9DF9FBD-6802-94D7-A4DD-1F6BEB239A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581025</xdr:colOff>
      <xdr:row>31</xdr:row>
      <xdr:rowOff>63499</xdr:rowOff>
    </xdr:from>
    <xdr:to>
      <xdr:col>20</xdr:col>
      <xdr:colOff>485775</xdr:colOff>
      <xdr:row>47</xdr:row>
      <xdr:rowOff>142874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5E883436-696D-0418-87E0-36384CCF5B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66674</xdr:colOff>
      <xdr:row>31</xdr:row>
      <xdr:rowOff>57150</xdr:rowOff>
    </xdr:from>
    <xdr:to>
      <xdr:col>6</xdr:col>
      <xdr:colOff>844124</xdr:colOff>
      <xdr:row>47</xdr:row>
      <xdr:rowOff>147637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DE3AE68-1B81-A53F-3CE9-B901115D1F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904875</xdr:colOff>
      <xdr:row>31</xdr:row>
      <xdr:rowOff>57150</xdr:rowOff>
    </xdr:from>
    <xdr:to>
      <xdr:col>14</xdr:col>
      <xdr:colOff>514350</xdr:colOff>
      <xdr:row>47</xdr:row>
      <xdr:rowOff>147637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D5D7D354-87FD-53B8-56BC-1AC828AD0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an" refreshedDate="45797.485701041667" backgroundQuery="1" createdVersion="8" refreshedVersion="8" minRefreshableVersion="3" recordCount="0" supportSubquery="1" supportAdvancedDrill="1" xr:uid="{D62A59C7-211C-4FC1-9215-0466ACBEAEB0}">
  <cacheSource type="external" connectionId="1"/>
  <cacheFields count="6">
    <cacheField name="[Tabela_Meses].[MESES].[MESES]" caption="MESES" numFmtId="0" level="1">
      <sharedItems count="1">
        <s v="04 - ABRIL"/>
      </sharedItems>
    </cacheField>
    <cacheField name="[Measures].[Soma de Concluídas]" caption="Soma de Concluídas" numFmtId="0" hierarchy="8" level="32767"/>
    <cacheField name="[Measures].[Soma de Á Realizar]" caption="Soma de Á Realizar" numFmtId="0" hierarchy="9" level="32767"/>
    <cacheField name="[Measures].[Soma de Em Andamento]" caption="Soma de Em Andamento" numFmtId="0" hierarchy="10" level="32767"/>
    <cacheField name="[Measures].[Soma de Média Dias para Conclusão]" caption="Soma de Média Dias para Conclusão" numFmtId="0" hierarchy="11" level="32767"/>
    <cacheField name="[Measures].[Soma de Total de Tarefas]" caption="Soma de Total de Tarefas" numFmtId="0" hierarchy="12" level="32767"/>
  </cacheFields>
  <cacheHierarchies count="13">
    <cacheHierarchy uniqueName="[Tabela_Meses].[MESES]" caption="MESES" attribute="1" defaultMemberUniqueName="[Tabela_Meses].[MESES].[All]" allUniqueName="[Tabela_Meses].[MESES].[All]" dimensionUniqueName="[Tabela_Meses]" displayFolder="" count="2" memberValueDatatype="130" unbalanced="0">
      <fieldsUsage count="2">
        <fieldUsage x="-1"/>
        <fieldUsage x="0"/>
      </fieldsUsage>
    </cacheHierarchy>
    <cacheHierarchy uniqueName="[Tabela_Meses].[Á Realizar]" caption="Á Realizar" attribute="1" defaultMemberUniqueName="[Tabela_Meses].[Á Realizar].[All]" allUniqueName="[Tabela_Meses].[Á Realizar].[All]" dimensionUniqueName="[Tabela_Meses]" displayFolder="" count="0" memberValueDatatype="20" unbalanced="0"/>
    <cacheHierarchy uniqueName="[Tabela_Meses].[Em Andamento]" caption="Em Andamento" attribute="1" defaultMemberUniqueName="[Tabela_Meses].[Em Andamento].[All]" allUniqueName="[Tabela_Meses].[Em Andamento].[All]" dimensionUniqueName="[Tabela_Meses]" displayFolder="" count="0" memberValueDatatype="20" unbalanced="0"/>
    <cacheHierarchy uniqueName="[Tabela_Meses].[Concluídas]" caption="Concluídas" attribute="1" defaultMemberUniqueName="[Tabela_Meses].[Concluídas].[All]" allUniqueName="[Tabela_Meses].[Concluídas].[All]" dimensionUniqueName="[Tabela_Meses]" displayFolder="" count="0" memberValueDatatype="20" unbalanced="0"/>
    <cacheHierarchy uniqueName="[Tabela_Meses].[Média Dias para Conclusão]" caption="Média Dias para Conclusão" attribute="1" defaultMemberUniqueName="[Tabela_Meses].[Média Dias para Conclusão].[All]" allUniqueName="[Tabela_Meses].[Média Dias para Conclusão].[All]" dimensionUniqueName="[Tabela_Meses]" displayFolder="" count="0" memberValueDatatype="5" unbalanced="0"/>
    <cacheHierarchy uniqueName="[Tabela_Meses].[Total de Tarefas]" caption="Total de Tarefas" attribute="1" defaultMemberUniqueName="[Tabela_Meses].[Total de Tarefas].[All]" allUniqueName="[Tabela_Meses].[Total de Tarefas].[All]" dimensionUniqueName="[Tabela_Meses]" displayFolder="" count="0" memberValueDatatype="20" unbalanced="0"/>
    <cacheHierarchy uniqueName="[Measures].[__XL_Count Tabela_Meses]" caption="__XL_Count Tabela_Meses" measure="1" displayFolder="" measureGroup="Tabela_Meses" count="0" hidden="1"/>
    <cacheHierarchy uniqueName="[Measures].[__No measures defined]" caption="__No measures defined" measure="1" displayFolder="" count="0" hidden="1"/>
    <cacheHierarchy uniqueName="[Measures].[Soma de Concluídas]" caption="Soma de Concluídas" measure="1" displayFolder="" measureGroup="Tabela_Mes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Á Realizar]" caption="Soma de Á Realizar" measure="1" displayFolder="" measureGroup="Tabela_Mes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Em Andamento]" caption="Soma de Em Andamento" measure="1" displayFolder="" measureGroup="Tabela_Mes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Média Dias para Conclusão]" caption="Soma de Média Dias para Conclusão" measure="1" displayFolder="" measureGroup="Tabela_Mese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Total de Tarefas]" caption="Soma de Total de Tarefas" measure="1" displayFolder="" measureGroup="Tabela_Meses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measure="1" name="Measures" uniqueName="[Measures]" caption="Measures"/>
    <dimension name="Tabela_Meses" uniqueName="[Tabela_Meses]" caption="Tabela_Meses"/>
  </dimensions>
  <measureGroups count="1">
    <measureGroup name="Tabela_Meses" caption="Tabela_Mes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an" refreshedDate="45797.485796180554" backgroundQuery="1" createdVersion="8" refreshedVersion="8" minRefreshableVersion="3" recordCount="0" supportSubquery="1" supportAdvancedDrill="1" xr:uid="{36BEA070-C6E9-4D71-A42A-EFB334217115}">
  <cacheSource type="external" connectionId="1"/>
  <cacheFields count="2">
    <cacheField name="[Tabela_Meses].[MESES].[MESES]" caption="MESES" numFmtId="0" level="1">
      <sharedItems count="1">
        <s v="05 - MAIO"/>
      </sharedItems>
    </cacheField>
    <cacheField name="[Measures].[Soma de Concluídas]" caption="Soma de Concluídas" numFmtId="0" hierarchy="8" level="32767"/>
  </cacheFields>
  <cacheHierarchies count="13">
    <cacheHierarchy uniqueName="[Tabela_Meses].[MESES]" caption="MESES" attribute="1" defaultMemberUniqueName="[Tabela_Meses].[MESES].[All]" allUniqueName="[Tabela_Meses].[MESES].[All]" dimensionUniqueName="[Tabela_Meses]" displayFolder="" count="2" memberValueDatatype="130" unbalanced="0">
      <fieldsUsage count="2">
        <fieldUsage x="-1"/>
        <fieldUsage x="0"/>
      </fieldsUsage>
    </cacheHierarchy>
    <cacheHierarchy uniqueName="[Tabela_Meses].[Á Realizar]" caption="Á Realizar" attribute="1" defaultMemberUniqueName="[Tabela_Meses].[Á Realizar].[All]" allUniqueName="[Tabela_Meses].[Á Realizar].[All]" dimensionUniqueName="[Tabela_Meses]" displayFolder="" count="0" memberValueDatatype="20" unbalanced="0"/>
    <cacheHierarchy uniqueName="[Tabela_Meses].[Em Andamento]" caption="Em Andamento" attribute="1" defaultMemberUniqueName="[Tabela_Meses].[Em Andamento].[All]" allUniqueName="[Tabela_Meses].[Em Andamento].[All]" dimensionUniqueName="[Tabela_Meses]" displayFolder="" count="0" memberValueDatatype="20" unbalanced="0"/>
    <cacheHierarchy uniqueName="[Tabela_Meses].[Concluídas]" caption="Concluídas" attribute="1" defaultMemberUniqueName="[Tabela_Meses].[Concluídas].[All]" allUniqueName="[Tabela_Meses].[Concluídas].[All]" dimensionUniqueName="[Tabela_Meses]" displayFolder="" count="0" memberValueDatatype="20" unbalanced="0"/>
    <cacheHierarchy uniqueName="[Tabela_Meses].[Média Dias para Conclusão]" caption="Média Dias para Conclusão" attribute="1" defaultMemberUniqueName="[Tabela_Meses].[Média Dias para Conclusão].[All]" allUniqueName="[Tabela_Meses].[Média Dias para Conclusão].[All]" dimensionUniqueName="[Tabela_Meses]" displayFolder="" count="0" memberValueDatatype="5" unbalanced="0"/>
    <cacheHierarchy uniqueName="[Tabela_Meses].[Total de Tarefas]" caption="Total de Tarefas" attribute="1" defaultMemberUniqueName="[Tabela_Meses].[Total de Tarefas].[All]" allUniqueName="[Tabela_Meses].[Total de Tarefas].[All]" dimensionUniqueName="[Tabela_Meses]" displayFolder="" count="0" memberValueDatatype="20" unbalanced="0"/>
    <cacheHierarchy uniqueName="[Measures].[__XL_Count Tabela_Meses]" caption="__XL_Count Tabela_Meses" measure="1" displayFolder="" measureGroup="Tabela_Meses" count="0" hidden="1"/>
    <cacheHierarchy uniqueName="[Measures].[__No measures defined]" caption="__No measures defined" measure="1" displayFolder="" count="0" hidden="1"/>
    <cacheHierarchy uniqueName="[Measures].[Soma de Concluídas]" caption="Soma de Concluídas" measure="1" displayFolder="" measureGroup="Tabela_Mes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Á Realizar]" caption="Soma de Á Realizar" measure="1" displayFolder="" measureGroup="Tabela_Mese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Em Andamento]" caption="Soma de Em Andamento" measure="1" displayFolder="" measureGroup="Tabela_Mese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Média Dias para Conclusão]" caption="Soma de Média Dias para Conclusão" measure="1" displayFolder="" measureGroup="Tabela_Mese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Total de Tarefas]" caption="Soma de Total de Tarefas" measure="1" displayFolder="" measureGroup="Tabela_Mese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measure="1" name="Measures" uniqueName="[Measures]" caption="Measures"/>
    <dimension name="Tabela_Meses" uniqueName="[Tabela_Meses]" caption="Tabela_Meses"/>
  </dimensions>
  <measureGroups count="1">
    <measureGroup name="Tabela_Meses" caption="Tabela_Mes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an" refreshedDate="45797.485699305558" backgroundQuery="1" createdVersion="3" refreshedVersion="8" minRefreshableVersion="3" recordCount="0" supportSubquery="1" supportAdvancedDrill="1" xr:uid="{323A52E2-FA4F-499C-9479-06F96EFE348B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3">
    <cacheHierarchy uniqueName="[Tabela_Meses].[MESES]" caption="MESES" attribute="1" defaultMemberUniqueName="[Tabela_Meses].[MESES].[All]" allUniqueName="[Tabela_Meses].[MESES].[All]" dimensionUniqueName="[Tabela_Meses]" displayFolder="" count="2" memberValueDatatype="130" unbalanced="0"/>
    <cacheHierarchy uniqueName="[Tabela_Meses].[Á Realizar]" caption="Á Realizar" attribute="1" defaultMemberUniqueName="[Tabela_Meses].[Á Realizar].[All]" allUniqueName="[Tabela_Meses].[Á Realizar].[All]" dimensionUniqueName="[Tabela_Meses]" displayFolder="" count="0" memberValueDatatype="20" unbalanced="0"/>
    <cacheHierarchy uniqueName="[Tabela_Meses].[Em Andamento]" caption="Em Andamento" attribute="1" defaultMemberUniqueName="[Tabela_Meses].[Em Andamento].[All]" allUniqueName="[Tabela_Meses].[Em Andamento].[All]" dimensionUniqueName="[Tabela_Meses]" displayFolder="" count="0" memberValueDatatype="20" unbalanced="0"/>
    <cacheHierarchy uniqueName="[Tabela_Meses].[Concluídas]" caption="Concluídas" attribute="1" defaultMemberUniqueName="[Tabela_Meses].[Concluídas].[All]" allUniqueName="[Tabela_Meses].[Concluídas].[All]" dimensionUniqueName="[Tabela_Meses]" displayFolder="" count="0" memberValueDatatype="20" unbalanced="0"/>
    <cacheHierarchy uniqueName="[Tabela_Meses].[Média Dias para Conclusão]" caption="Média Dias para Conclusão" attribute="1" defaultMemberUniqueName="[Tabela_Meses].[Média Dias para Conclusão].[All]" allUniqueName="[Tabela_Meses].[Média Dias para Conclusão].[All]" dimensionUniqueName="[Tabela_Meses]" displayFolder="" count="0" memberValueDatatype="5" unbalanced="0"/>
    <cacheHierarchy uniqueName="[Tabela_Meses].[Total de Tarefas]" caption="Total de Tarefas" attribute="1" defaultMemberUniqueName="[Tabela_Meses].[Total de Tarefas].[All]" allUniqueName="[Tabela_Meses].[Total de Tarefas].[All]" dimensionUniqueName="[Tabela_Meses]" displayFolder="" count="0" memberValueDatatype="20" unbalanced="0"/>
    <cacheHierarchy uniqueName="[Measures].[__XL_Count Tabela_Meses]" caption="__XL_Count Tabela_Meses" measure="1" displayFolder="" measureGroup="Tabela_Meses" count="0" hidden="1"/>
    <cacheHierarchy uniqueName="[Measures].[__No measures defined]" caption="__No measures defined" measure="1" displayFolder="" count="0" hidden="1"/>
    <cacheHierarchy uniqueName="[Measures].[Soma de Concluídas]" caption="Soma de Concluídas" measure="1" displayFolder="" measureGroup="Tabela_Mes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Á Realizar]" caption="Soma de Á Realizar" measure="1" displayFolder="" measureGroup="Tabela_Mese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Em Andamento]" caption="Soma de Em Andamento" measure="1" displayFolder="" measureGroup="Tabela_Mese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Média Dias para Conclusão]" caption="Soma de Média Dias para Conclusão" measure="1" displayFolder="" measureGroup="Tabela_Mese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Total de Tarefas]" caption="Soma de Total de Tarefas" measure="1" displayFolder="" measureGroup="Tabela_Mese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462868860"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an" refreshedDate="45797.485702546299" backgroundQuery="1" createdVersion="3" refreshedVersion="8" minRefreshableVersion="3" recordCount="0" supportSubquery="1" supportAdvancedDrill="1" xr:uid="{B3858B6E-970A-4A5F-A673-F3726E66E626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3">
    <cacheHierarchy uniqueName="[Tabela_Meses].[MESES]" caption="MESES" attribute="1" defaultMemberUniqueName="[Tabela_Meses].[MESES].[All]" allUniqueName="[Tabela_Meses].[MESES].[All]" dimensionUniqueName="[Tabela_Meses]" displayFolder="" count="2" memberValueDatatype="130" unbalanced="0"/>
    <cacheHierarchy uniqueName="[Tabela_Meses].[Á Realizar]" caption="Á Realizar" attribute="1" defaultMemberUniqueName="[Tabela_Meses].[Á Realizar].[All]" allUniqueName="[Tabela_Meses].[Á Realizar].[All]" dimensionUniqueName="[Tabela_Meses]" displayFolder="" count="0" memberValueDatatype="20" unbalanced="0"/>
    <cacheHierarchy uniqueName="[Tabela_Meses].[Em Andamento]" caption="Em Andamento" attribute="1" defaultMemberUniqueName="[Tabela_Meses].[Em Andamento].[All]" allUniqueName="[Tabela_Meses].[Em Andamento].[All]" dimensionUniqueName="[Tabela_Meses]" displayFolder="" count="0" memberValueDatatype="20" unbalanced="0"/>
    <cacheHierarchy uniqueName="[Tabela_Meses].[Concluídas]" caption="Concluídas" attribute="1" defaultMemberUniqueName="[Tabela_Meses].[Concluídas].[All]" allUniqueName="[Tabela_Meses].[Concluídas].[All]" dimensionUniqueName="[Tabela_Meses]" displayFolder="" count="0" memberValueDatatype="20" unbalanced="0"/>
    <cacheHierarchy uniqueName="[Tabela_Meses].[Média Dias para Conclusão]" caption="Média Dias para Conclusão" attribute="1" defaultMemberUniqueName="[Tabela_Meses].[Média Dias para Conclusão].[All]" allUniqueName="[Tabela_Meses].[Média Dias para Conclusão].[All]" dimensionUniqueName="[Tabela_Meses]" displayFolder="" count="0" memberValueDatatype="5" unbalanced="0"/>
    <cacheHierarchy uniqueName="[Tabela_Meses].[Total de Tarefas]" caption="Total de Tarefas" attribute="1" defaultMemberUniqueName="[Tabela_Meses].[Total de Tarefas].[All]" allUniqueName="[Tabela_Meses].[Total de Tarefas].[All]" dimensionUniqueName="[Tabela_Meses]" displayFolder="" count="0" memberValueDatatype="20" unbalanced="0"/>
    <cacheHierarchy uniqueName="[Measures].[__XL_Count Tabela_Meses]" caption="__XL_Count Tabela_Meses" measure="1" displayFolder="" measureGroup="Tabela_Meses" count="0" hidden="1"/>
    <cacheHierarchy uniqueName="[Measures].[__No measures defined]" caption="__No measures defined" measure="1" displayFolder="" count="0" hidden="1"/>
    <cacheHierarchy uniqueName="[Measures].[Soma de Concluídas]" caption="Soma de Concluídas" measure="1" displayFolder="" measureGroup="Tabela_Mes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Á Realizar]" caption="Soma de Á Realizar" measure="1" displayFolder="" measureGroup="Tabela_Mese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Em Andamento]" caption="Soma de Em Andamento" measure="1" displayFolder="" measureGroup="Tabela_Mese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Média Dias para Conclusão]" caption="Soma de Média Dias para Conclusão" measure="1" displayFolder="" measureGroup="Tabela_Mese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Total de Tarefas]" caption="Soma de Total de Tarefas" measure="1" displayFolder="" measureGroup="Tabela_Mese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68301339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C156F4-E5D2-484D-8834-AC75A3BFFD0D}" name="Tabela dinâmica_Meses" cacheId="421" applyNumberFormats="0" applyBorderFormats="0" applyFontFormats="0" applyPatternFormats="0" applyAlignmentFormats="0" applyWidthHeightFormats="1" dataCaption="Valores" updatedVersion="8" minRefreshableVersion="3" useAutoFormatting="1" subtotalHiddenItems="1" rowGrandTotals="0" itemPrintTitles="1" createdVersion="8" indent="0" outline="1" outlineData="1" multipleFieldFilters="0" chartFormat="5">
  <location ref="C1:D2" firstHeaderRow="1" firstDataRow="1" firstDataCol="1"/>
  <pivotFields count="2">
    <pivotField axis="axisRow" allDrilled="1" subtotalTop="0" showAll="0" dataSourceSort="1" defaultSubtotal="0" defaultAttributeDrillState="1">
      <items count="1">
        <item s="1" x="0"/>
      </items>
    </pivotField>
    <pivotField dataField="1" subtotalTop="0" showAll="0" defaultSubtotal="0"/>
  </pivotFields>
  <rowFields count="1">
    <field x="0"/>
  </rowFields>
  <rowItems count="1">
    <i>
      <x/>
    </i>
  </rowItems>
  <colItems count="1">
    <i/>
  </colItems>
  <dataFields count="1">
    <dataField name="Concluídas" fld="1" baseField="0" baseItem="0"/>
  </dataFields>
  <pivotHierarchies count="13"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Concluídas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ONTROLADORIA.xlsm!Tabela_Meses">
        <x15:activeTabTopLevelEntity name="[Tabela_Me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92B9C2-746A-49A8-80E1-4E0A01807526}" name="Tabela dinâmica_Grafico" cacheId="411" applyNumberFormats="0" applyBorderFormats="0" applyFontFormats="0" applyPatternFormats="0" applyAlignmentFormats="0" applyWidthHeightFormats="1" dataCaption="Valores" updatedVersion="8" minRefreshableVersion="3" useAutoFormatting="1" subtotalHiddenItems="1" rowGrandTotals="0" itemPrintTitles="1" createdVersion="8" indent="0" outline="1" outlineData="1" multipleFieldFilters="0">
  <location ref="R1:W2" firstHeaderRow="0" firstDataRow="1" firstDataCol="1"/>
  <pivotFields count="6">
    <pivotField axis="axisRow" allDrilled="1" subtotalTop="0" showAll="0" dataSourceSort="1" defaultSubtotal="0" defaultAttributeDrillState="1">
      <items count="1">
        <item s="1" x="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1">
    <i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oma de Á Realizar" fld="2" baseField="0" baseItem="0"/>
    <dataField name="Soma de Em Andamento" fld="3" baseField="0" baseItem="0"/>
    <dataField name="Soma de Concluídas" fld="1" baseField="0" baseItem="0"/>
    <dataField name="Soma de Média Dias para Conclusão" fld="4" baseField="0" baseItem="0"/>
    <dataField name="Soma de Total de Tarefas" fld="5" baseField="0" baseItem="0"/>
  </dataFields>
  <formats count="4">
    <format dxfId="9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  <format dxfId="8">
      <pivotArea dataOnly="0" labelOnly="1" outline="0" fieldPosition="0">
        <references count="1">
          <reference field="4294967294" count="2">
            <x v="3"/>
            <x v="4"/>
          </reference>
        </references>
      </pivotArea>
    </format>
    <format dxfId="7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  <format dxfId="6">
      <pivotArea dataOnly="0" labelOnly="1" outline="0" fieldPosition="0">
        <references count="1">
          <reference field="4294967294" count="2">
            <x v="3"/>
            <x v="4"/>
          </reference>
        </references>
      </pivotArea>
    </format>
  </formats>
  <pivotHierarchies count="13"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ONTROLADORIA.xlsm!Tabela_Meses">
        <x15:activeTabTopLevelEntity name="[Tabela_Me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ES" xr10:uid="{3A5F5C1D-A6DF-4573-B730-89127A47AC86}" sourceName="[Tabela_Meses].[MESES]">
  <pivotTables>
    <pivotTable tabId="5" name="Tabela dinâmica_Meses"/>
  </pivotTables>
  <data>
    <olap pivotCacheId="1683013397">
      <levels count="2">
        <level uniqueName="[Tabela_Meses].[MESES].[(All)]" sourceCaption="(All)" count="0"/>
        <level uniqueName="[Tabela_Meses].[MESES].[MESES]" sourceCaption="MESES" count="12">
          <ranges>
            <range startItem="0">
              <i n="[Tabela_Meses].[MESES].&amp;[01 - JANEIRO]" c="01 - JANEIRO"/>
              <i n="[Tabela_Meses].[MESES].&amp;[02 - FEVEREIRO]" c="02 - FEVEREIRO"/>
              <i n="[Tabela_Meses].[MESES].&amp;[03 - MARÇO]" c="03 - MARÇO"/>
              <i n="[Tabela_Meses].[MESES].&amp;[04 - ABRIL]" c="04 - ABRIL"/>
              <i n="[Tabela_Meses].[MESES].&amp;[05 - MAIO]" c="05 - MAIO"/>
              <i n="[Tabela_Meses].[MESES].&amp;[06 - JUNHO]" c="06 - JUNHO"/>
              <i n="[Tabela_Meses].[MESES].&amp;[07 - JULHO]" c="07 - JULHO"/>
              <i n="[Tabela_Meses].[MESES].&amp;[08 - AGOSTO]" c="08 - AGOSTO"/>
              <i n="[Tabela_Meses].[MESES].&amp;[09 - SETEMBRO]" c="09 - SETEMBRO"/>
              <i n="[Tabela_Meses].[MESES].&amp;[10 - OUTUBRO]" c="10 - OUTUBRO"/>
              <i n="[Tabela_Meses].[MESES].&amp;[11 - NOVEMBRO]" c="11 - NOVEMBRO"/>
              <i n="[Tabela_Meses].[MESES].&amp;[12 - DEZEMBRO]" c="12 - DEZEMBRO"/>
            </range>
          </ranges>
        </level>
      </levels>
      <selections count="1">
        <selection n="[Tabela_Meses].[MESES].&amp;[05 - MAIO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ES1" xr10:uid="{41CB79B5-C31C-4E3D-8B42-3A670D112C0F}" sourceName="[Tabela_Meses].[MESES]">
  <pivotTables>
    <pivotTable tabId="5" name="Tabela dinâmica_Grafico"/>
  </pivotTables>
  <data>
    <olap pivotCacheId="462868860">
      <levels count="2">
        <level uniqueName="[Tabela_Meses].[MESES].[(All)]" sourceCaption="(All)" count="0"/>
        <level uniqueName="[Tabela_Meses].[MESES].[MESES]" sourceCaption="MESES" count="12">
          <ranges>
            <range startItem="0">
              <i n="[Tabela_Meses].[MESES].&amp;[01 - JANEIRO]" c="01 - JANEIRO"/>
              <i n="[Tabela_Meses].[MESES].&amp;[02 - FEVEREIRO]" c="02 - FEVEREIRO"/>
              <i n="[Tabela_Meses].[MESES].&amp;[03 - MARÇO]" c="03 - MARÇO"/>
              <i n="[Tabela_Meses].[MESES].&amp;[04 - ABRIL]" c="04 - ABRIL"/>
              <i n="[Tabela_Meses].[MESES].&amp;[05 - MAIO]" c="05 - MAIO"/>
              <i n="[Tabela_Meses].[MESES].&amp;[06 - JUNHO]" c="06 - JUNHO"/>
              <i n="[Tabela_Meses].[MESES].&amp;[07 - JULHO]" c="07 - JULHO"/>
              <i n="[Tabela_Meses].[MESES].&amp;[08 - AGOSTO]" c="08 - AGOSTO"/>
              <i n="[Tabela_Meses].[MESES].&amp;[09 - SETEMBRO]" c="09 - SETEMBRO"/>
              <i n="[Tabela_Meses].[MESES].&amp;[10 - OUTUBRO]" c="10 - OUTUBRO"/>
              <i n="[Tabela_Meses].[MESES].&amp;[11 - NOVEMBRO]" c="11 - NOVEMBRO"/>
              <i n="[Tabela_Meses].[MESES].&amp;[12 - DEZEMBRO]" c="12 - DEZEMBRO"/>
            </range>
          </ranges>
        </level>
      </levels>
      <selections count="1">
        <selection n="[Tabela_Meses].[MESES].&amp;[04 - ABRI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430BB285-5EB7-4EB9-A89F-1892735874CF}" cache="SegmentaçãodeDados_MESES" caption="MESES" columnCount="12" showCaption="0" level="1" style="SlicerStyleDark4" rowHeight="50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 1" xr10:uid="{39B6E304-3516-4548-89D1-EF1382B79606}" cache="SegmentaçãodeDados_MESES1" caption="MESES" columnCount="3" showCaption="0" level="1" style="SlicerStyleLight1 2" rowHeight="720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B31D6A7-A25A-4DA3-9E54-271FC3B66D9C}" name="Tabela_Tarefas" displayName="Tabela_Tarefas" ref="A1:K71" totalsRowShown="0" headerRowDxfId="45">
  <autoFilter ref="A1:K71" xr:uid="{1B31D6A7-A25A-4DA3-9E54-271FC3B66D9C}"/>
  <sortState xmlns:xlrd2="http://schemas.microsoft.com/office/spreadsheetml/2017/richdata2" ref="A2:K40">
    <sortCondition ref="K1:K40"/>
  </sortState>
  <tableColumns count="11">
    <tableColumn id="1" xr3:uid="{276E879F-949C-46B0-98B0-F5F9E1F33FAF}" name="ID TAREFA" dataDxfId="44"/>
    <tableColumn id="2" xr3:uid="{846C2E5B-0379-40E5-BE82-29D5262255CF}" name="DATA DE CRIAÇÃO" dataDxfId="43"/>
    <tableColumn id="3" xr3:uid="{5F15EF2D-3677-4BAE-9493-BCF37789C772}" name="TAREFA" dataDxfId="42"/>
    <tableColumn id="4" xr3:uid="{72CCB020-2B8C-4151-98FA-C6EE9A934437}" name="DESCRIÇÃO" dataDxfId="41"/>
    <tableColumn id="5" xr3:uid="{CA554FE8-40C1-4CEC-9E25-E5925D3A770E}" name="STATUS" dataDxfId="40">
      <calculatedColumnFormula>IF(A2&lt;&gt;"","A REALIZAR","")</calculatedColumnFormula>
    </tableColumn>
    <tableColumn id="6" xr3:uid="{B268552E-DAEA-430C-A4BD-68819394435A}" name="RESPONSÁVEL" dataDxfId="39"/>
    <tableColumn id="7" xr3:uid="{473EEEA1-F0D6-4AF1-AA0B-001203318844}" name="REPETIR" dataDxfId="38"/>
    <tableColumn id="8" xr3:uid="{367561E0-14AD-4FD6-BA3C-DC8E64D21B8E}" name="PRIORIDADE" dataDxfId="37"/>
    <tableColumn id="9" xr3:uid="{EAD4C5F7-6E4A-4792-B6DC-F3BB4262968D}" name="MÊS" dataDxfId="36">
      <calculatedColumnFormula>IF(B2="", "", TEXT(B2,"mm") &amp; " - " &amp; UPPER(TEXT(B2,"mmmm")))</calculatedColumnFormula>
    </tableColumn>
    <tableColumn id="10" xr3:uid="{DDA9EACD-F1F3-4D3A-B42B-FD7B76580C67}" name="SETOR" dataDxfId="35"/>
    <tableColumn id="11" xr3:uid="{9C09773B-058A-484F-96C3-9A0CFB22B50B}" name="MÊS2" dataDxfId="3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CF636B-4196-4490-8495-375B31CFD8D7}" name="Tabela_Andamento" displayName="Tabela_Andamento" ref="A1:K15" totalsRowShown="0" headerRowDxfId="33">
  <autoFilter ref="A1:K15" xr:uid="{AACF636B-4196-4490-8495-375B31CFD8D7}"/>
  <tableColumns count="11">
    <tableColumn id="1" xr3:uid="{2EC98C84-6713-416F-B160-06378E599190}" name="ID TAREFA" dataDxfId="32"/>
    <tableColumn id="2" xr3:uid="{EBFB2224-9391-4F1C-B766-1652E89FA3A5}" name="DATA DE CRIAÇÃO" dataDxfId="31"/>
    <tableColumn id="3" xr3:uid="{370EFFF6-4B8D-48AE-918B-128D562B01D5}" name="TAREFA" dataDxfId="30"/>
    <tableColumn id="4" xr3:uid="{93B22003-C130-4835-A2D7-ED8158AFE148}" name="DESCRIÇÃO" dataDxfId="29"/>
    <tableColumn id="5" xr3:uid="{4ADF28CC-4DE4-420B-9D75-79FCA1BC96FA}" name="STATUS" dataDxfId="28">
      <calculatedColumnFormula>IF(A2&lt;&gt;"","EM ANDAMENTO","")</calculatedColumnFormula>
    </tableColumn>
    <tableColumn id="6" xr3:uid="{B659D483-C185-4C28-8327-D6FC32056518}" name="RESPONSÁVEL"/>
    <tableColumn id="7" xr3:uid="{92F333DB-D693-4A2E-8647-9415D5A08D4A}" name="REPETIR"/>
    <tableColumn id="8" xr3:uid="{083F3BF8-6609-41E5-A131-44AEAFF8794B}" name="PRIORIDADE"/>
    <tableColumn id="9" xr3:uid="{CE9E02D5-61FB-43FF-8F9F-C04102E66B2D}" name="MÊS" dataDxfId="27"/>
    <tableColumn id="10" xr3:uid="{91462ADA-BAED-4305-A216-7D483206304A}" name="SETOR" dataDxfId="26"/>
    <tableColumn id="11" xr3:uid="{86714100-71F1-475C-B6EF-FDE1E1E923E8}" name="OBSERVAÇÕES" dataDxfId="2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6F7CA8-0042-4D57-8FAB-0719CFE4AE23}" name="Tabela_Concluidas" displayName="Tabela_Concluidas" ref="A1:M30" totalsRowShown="0" headerRowDxfId="24" dataDxfId="23">
  <autoFilter ref="A1:M30" xr:uid="{C26F7CA8-0042-4D57-8FAB-0719CFE4AE23}"/>
  <sortState xmlns:xlrd2="http://schemas.microsoft.com/office/spreadsheetml/2017/richdata2" ref="A2:L2">
    <sortCondition ref="A1:A2"/>
  </sortState>
  <tableColumns count="13">
    <tableColumn id="1" xr3:uid="{9DEA1244-CE38-4762-A9CF-AAE6248A5CF2}" name="ID TAREFA" dataDxfId="22"/>
    <tableColumn id="2" xr3:uid="{267DBE40-14D4-414F-8CC6-CBE7292CAC2B}" name="DATA DE CRIAÇÃO" dataDxfId="21"/>
    <tableColumn id="3" xr3:uid="{DD115CCD-9A59-47C0-99BA-910C3BBB7BE7}" name="TAREFA" dataDxfId="20"/>
    <tableColumn id="4" xr3:uid="{C739A8A6-B9B6-448F-B392-B3521BB94416}" name="DESCRIÇÃO" dataDxfId="19"/>
    <tableColumn id="5" xr3:uid="{93083122-7DF0-4D2A-AFA3-1B0AE218EC4B}" name="STATUS" dataDxfId="18">
      <calculatedColumnFormula>IF(A2&lt;&gt;"","CONCLUÍDA","")</calculatedColumnFormula>
    </tableColumn>
    <tableColumn id="6" xr3:uid="{2E4F47FD-2FF4-4F29-8AB0-DD1AD2EFB22D}" name="RESPONSÁVEL" dataDxfId="17"/>
    <tableColumn id="7" xr3:uid="{06DB9A74-5D31-4DEA-A525-1CD61E69088E}" name="REPETIR" dataDxfId="16"/>
    <tableColumn id="8" xr3:uid="{25D92B93-86AA-4E99-B86F-7B2488D5863C}" name="PRIORIDADE" dataDxfId="15"/>
    <tableColumn id="9" xr3:uid="{42818A43-7783-4A98-83CD-1B03E5403D40}" name="MÊS" dataDxfId="14"/>
    <tableColumn id="12" xr3:uid="{5E3FF6EF-8541-4000-964A-893B9CB0B5D6}" name="SETOR" dataDxfId="13"/>
    <tableColumn id="10" xr3:uid="{AB22D95F-D0E7-4D4A-B233-1C16281E3362}" name="DATA DE CONCLUSÃO" dataDxfId="12"/>
    <tableColumn id="11" xr3:uid="{C42653CD-DE10-4FF8-962F-15E04A2F28DB}" name="DIAS PARA CONCLUSÃO" dataDxfId="11">
      <calculatedColumnFormula>IF(K2="", "", K2 - B2)</calculatedColumnFormula>
    </tableColumn>
    <tableColumn id="13" xr3:uid="{46C27168-A1DF-49DF-912B-14F2778104B8}" name="REPLICADA" dataDxfId="1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B685CC-839D-4193-800E-29302D247DEA}" name="Tabela_Meses" displayName="Tabela_Meses" ref="J1:O13" totalsRowShown="0">
  <autoFilter ref="J1:O13" xr:uid="{AEB685CC-839D-4193-800E-29302D247DEA}"/>
  <tableColumns count="6">
    <tableColumn id="1" xr3:uid="{2A504522-BB23-462B-BD8D-9D5AA0A6604E}" name="MESES" dataDxfId="5"/>
    <tableColumn id="2" xr3:uid="{EDE8B8A0-AF2D-4ED0-8EDC-AC3EE7C78085}" name="Á Realizar" dataDxfId="4"/>
    <tableColumn id="3" xr3:uid="{A75B2097-27B8-4076-9BCD-79CFC6C32A0F}" name="Em Andamento" dataDxfId="3"/>
    <tableColumn id="4" xr3:uid="{ED713CDF-DCD6-43F3-B4AC-70F65129B4A2}" name="Concluídas" dataDxfId="2"/>
    <tableColumn id="5" xr3:uid="{EB7CB297-40DB-43D2-94ED-56191310E3EB}" name="Média Dias para Conclusão" dataDxfId="1"/>
    <tableColumn id="6" xr3:uid="{D7D84B18-9BB5-4D58-A5C7-905BAE9FE7FD}" name="Total de Tarefas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2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4BECA-75AB-40CE-B5AF-D228646BD358}">
  <sheetPr codeName="Planilha1"/>
  <dimension ref="A1:DB300"/>
  <sheetViews>
    <sheetView showGridLines="0" showRowColHeaders="0" zoomScale="96" zoomScaleNormal="96" workbookViewId="0">
      <selection activeCell="AL7" sqref="AL7"/>
    </sheetView>
  </sheetViews>
  <sheetFormatPr defaultColWidth="2.7109375" defaultRowHeight="9.9499999999999993" customHeight="1" x14ac:dyDescent="0.25"/>
  <cols>
    <col min="1" max="1" width="2.7109375" style="5" customWidth="1"/>
    <col min="2" max="2" width="2.7109375" style="5"/>
    <col min="3" max="3" width="2.7109375" style="6"/>
    <col min="4" max="4" width="2.7109375" style="5" customWidth="1"/>
    <col min="5" max="78" width="2.7109375" style="5"/>
    <col min="79" max="79" width="2.7109375" style="5" customWidth="1"/>
    <col min="80" max="16384" width="2.7109375" style="5"/>
  </cols>
  <sheetData>
    <row r="1" spans="1:106" ht="9.9499999999999993" customHeight="1" x14ac:dyDescent="0.2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  <c r="CZ1" s="29"/>
      <c r="DA1" s="29"/>
      <c r="DB1" s="29"/>
    </row>
    <row r="2" spans="1:106" ht="9.9499999999999993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  <c r="CL2" s="29"/>
      <c r="CM2" s="29"/>
      <c r="CN2" s="29"/>
      <c r="CO2" s="29"/>
      <c r="CP2" s="29"/>
      <c r="CQ2" s="29"/>
      <c r="CR2" s="29"/>
      <c r="CS2" s="29"/>
      <c r="CT2" s="29"/>
      <c r="CU2" s="29"/>
      <c r="CV2" s="29"/>
      <c r="CW2" s="29"/>
      <c r="CX2" s="29"/>
      <c r="CY2" s="29"/>
      <c r="CZ2" s="29"/>
      <c r="DA2" s="29"/>
      <c r="DB2" s="29"/>
    </row>
    <row r="3" spans="1:106" ht="9.9499999999999993" customHeight="1" x14ac:dyDescent="0.2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  <c r="CR3" s="29"/>
      <c r="CS3" s="29"/>
      <c r="CT3" s="29"/>
      <c r="CU3" s="29"/>
      <c r="CV3" s="29"/>
      <c r="CW3" s="29"/>
      <c r="CX3" s="29"/>
      <c r="CY3" s="29"/>
      <c r="CZ3" s="29"/>
      <c r="DA3" s="29"/>
      <c r="DB3" s="29"/>
    </row>
    <row r="4" spans="1:106" ht="9.9499999999999993" customHeight="1" x14ac:dyDescent="0.25">
      <c r="A4" s="26"/>
      <c r="B4" s="26"/>
      <c r="C4" s="27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29"/>
      <c r="CC4" s="29"/>
      <c r="CD4" s="29"/>
      <c r="CE4" s="29"/>
      <c r="CF4" s="29"/>
      <c r="CG4" s="29"/>
      <c r="CH4" s="29"/>
      <c r="CI4" s="29"/>
      <c r="CJ4" s="29"/>
      <c r="CK4" s="29"/>
      <c r="CL4" s="29"/>
      <c r="CM4" s="29"/>
      <c r="CN4" s="29"/>
      <c r="CO4" s="29"/>
      <c r="CP4" s="29"/>
      <c r="CQ4" s="29"/>
      <c r="CR4" s="29"/>
      <c r="CS4" s="29"/>
      <c r="CT4" s="29"/>
      <c r="CU4" s="29"/>
      <c r="CV4" s="29"/>
      <c r="CW4" s="29"/>
      <c r="CX4" s="29"/>
      <c r="CY4" s="29"/>
      <c r="CZ4" s="29"/>
      <c r="DA4" s="29"/>
      <c r="DB4" s="29"/>
    </row>
    <row r="5" spans="1:106" ht="9.9499999999999993" customHeight="1" x14ac:dyDescent="0.25">
      <c r="A5" s="28"/>
      <c r="B5" s="26"/>
      <c r="C5" s="27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29"/>
      <c r="CJ5" s="2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29"/>
    </row>
    <row r="6" spans="1:106" ht="9.9499999999999993" customHeight="1" x14ac:dyDescent="0.25">
      <c r="A6" s="26"/>
      <c r="B6" s="26"/>
      <c r="C6" s="27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29"/>
      <c r="CJ6" s="2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29"/>
    </row>
    <row r="7" spans="1:106" ht="9.9499999999999993" customHeight="1" x14ac:dyDescent="0.25">
      <c r="A7" s="7">
        <v>1</v>
      </c>
      <c r="B7" s="7"/>
      <c r="C7" s="8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>
        <v>1</v>
      </c>
      <c r="BB7" s="9">
        <v>1</v>
      </c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>
        <v>1</v>
      </c>
    </row>
    <row r="8" spans="1:106" ht="9.9499999999999993" customHeight="1" x14ac:dyDescent="0.25">
      <c r="A8" s="7"/>
      <c r="B8" s="7"/>
      <c r="C8" s="8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</row>
    <row r="9" spans="1:106" ht="9.9499999999999993" customHeight="1" x14ac:dyDescent="0.25">
      <c r="A9" s="7"/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</row>
    <row r="10" spans="1:106" ht="9.9499999999999993" customHeight="1" x14ac:dyDescent="0.25">
      <c r="A10" s="7"/>
      <c r="B10" s="7"/>
      <c r="C10" s="8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</row>
    <row r="11" spans="1:106" ht="9.9499999999999993" customHeight="1" x14ac:dyDescent="0.25">
      <c r="A11" s="7"/>
      <c r="B11" s="7"/>
      <c r="C11" s="8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</row>
    <row r="12" spans="1:106" ht="9.9499999999999993" customHeight="1" x14ac:dyDescent="0.25">
      <c r="A12" s="7"/>
      <c r="B12" s="7"/>
      <c r="C12" s="8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</row>
    <row r="13" spans="1:106" ht="9.9499999999999993" customHeight="1" x14ac:dyDescent="0.25">
      <c r="A13" s="7"/>
      <c r="B13" s="7"/>
      <c r="C13" s="8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</row>
    <row r="14" spans="1:106" ht="9.9499999999999993" customHeight="1" x14ac:dyDescent="0.25">
      <c r="A14" s="7"/>
      <c r="B14" s="7"/>
      <c r="C14" s="8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9"/>
      <c r="BC14" s="9"/>
      <c r="BD14" s="9"/>
      <c r="BE14" s="9"/>
      <c r="BF14" s="9"/>
      <c r="BG14" s="9"/>
      <c r="BH14" s="9"/>
      <c r="BI14" s="9"/>
      <c r="BJ14" s="9" t="s">
        <v>151</v>
      </c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</row>
    <row r="15" spans="1:106" ht="9.9499999999999993" customHeight="1" x14ac:dyDescent="0.25">
      <c r="A15" s="7"/>
      <c r="B15" s="7"/>
      <c r="C15" s="8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</row>
    <row r="16" spans="1:106" ht="9.9499999999999993" customHeight="1" x14ac:dyDescent="0.25">
      <c r="A16" s="7"/>
      <c r="B16" s="7"/>
      <c r="C16" s="8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</row>
    <row r="17" spans="1:106" ht="9.9499999999999993" customHeight="1" x14ac:dyDescent="0.25">
      <c r="A17" s="7"/>
      <c r="B17" s="7"/>
      <c r="C17" s="8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</row>
    <row r="18" spans="1:106" ht="9.9499999999999993" customHeight="1" x14ac:dyDescent="0.25">
      <c r="A18" s="7"/>
      <c r="B18" s="7"/>
      <c r="C18" s="8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</row>
    <row r="19" spans="1:106" ht="9.9499999999999993" customHeight="1" x14ac:dyDescent="0.25">
      <c r="A19" s="7"/>
      <c r="B19" s="7"/>
      <c r="C19" s="8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</row>
    <row r="20" spans="1:106" ht="9.9499999999999993" customHeight="1" x14ac:dyDescent="0.25">
      <c r="A20" s="7"/>
      <c r="B20" s="7"/>
      <c r="C20" s="8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</row>
    <row r="21" spans="1:106" ht="9.9499999999999993" customHeight="1" x14ac:dyDescent="0.25">
      <c r="A21" s="7"/>
      <c r="B21" s="7"/>
      <c r="C21" s="8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</row>
    <row r="22" spans="1:106" ht="9.9499999999999993" customHeight="1" x14ac:dyDescent="0.25">
      <c r="A22" s="7"/>
      <c r="B22" s="7"/>
      <c r="C22" s="8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</row>
    <row r="23" spans="1:106" ht="9.9499999999999993" customHeight="1" x14ac:dyDescent="0.25">
      <c r="A23" s="7"/>
      <c r="B23" s="7"/>
      <c r="C23" s="8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</row>
    <row r="24" spans="1:106" ht="9.9499999999999993" customHeight="1" x14ac:dyDescent="0.25">
      <c r="A24" s="7"/>
      <c r="B24" s="7"/>
      <c r="C24" s="8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</row>
    <row r="25" spans="1:106" ht="9.9499999999999993" customHeight="1" x14ac:dyDescent="0.25">
      <c r="A25" s="7"/>
      <c r="B25" s="7"/>
      <c r="C25" s="8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</row>
    <row r="26" spans="1:106" ht="9.9499999999999993" customHeight="1" x14ac:dyDescent="0.25">
      <c r="A26" s="7"/>
      <c r="B26" s="7"/>
      <c r="C26" s="8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</row>
    <row r="27" spans="1:106" ht="9.9499999999999993" customHeight="1" x14ac:dyDescent="0.25">
      <c r="A27" s="7"/>
      <c r="B27" s="7"/>
      <c r="C27" s="8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</row>
    <row r="28" spans="1:106" ht="9.9499999999999993" customHeight="1" x14ac:dyDescent="0.25">
      <c r="A28" s="7"/>
      <c r="B28" s="7"/>
      <c r="C28" s="8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</row>
    <row r="29" spans="1:106" ht="9.9499999999999993" customHeight="1" x14ac:dyDescent="0.25">
      <c r="A29" s="7"/>
      <c r="B29" s="7"/>
      <c r="C29" s="8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</row>
    <row r="30" spans="1:106" ht="9.9499999999999993" customHeight="1" x14ac:dyDescent="0.25">
      <c r="A30" s="7"/>
      <c r="B30" s="7"/>
      <c r="C30" s="8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</row>
    <row r="31" spans="1:106" ht="9.9499999999999993" customHeight="1" x14ac:dyDescent="0.25">
      <c r="A31" s="7"/>
      <c r="B31" s="7"/>
      <c r="C31" s="8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</row>
    <row r="32" spans="1:106" ht="9.9499999999999993" customHeight="1" x14ac:dyDescent="0.25">
      <c r="A32" s="7"/>
      <c r="B32" s="7"/>
      <c r="C32" s="8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</row>
    <row r="33" spans="1:106" ht="9.9499999999999993" customHeight="1" x14ac:dyDescent="0.25">
      <c r="A33" s="7"/>
      <c r="B33" s="7"/>
      <c r="C33" s="8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</row>
    <row r="34" spans="1:106" ht="9.9499999999999993" customHeight="1" x14ac:dyDescent="0.25">
      <c r="A34" s="7"/>
      <c r="B34" s="7"/>
      <c r="C34" s="8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</row>
    <row r="35" spans="1:106" ht="9.9499999999999993" customHeight="1" x14ac:dyDescent="0.25">
      <c r="A35" s="7"/>
      <c r="B35" s="7"/>
      <c r="C35" s="8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</row>
    <row r="36" spans="1:106" ht="9.9499999999999993" customHeight="1" x14ac:dyDescent="0.25">
      <c r="A36" s="7"/>
      <c r="B36" s="7"/>
      <c r="C36" s="8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</row>
    <row r="37" spans="1:106" ht="9.9499999999999993" customHeight="1" x14ac:dyDescent="0.25">
      <c r="A37" s="7"/>
      <c r="B37" s="7"/>
      <c r="C37" s="8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</row>
    <row r="38" spans="1:106" ht="9.9499999999999993" customHeight="1" x14ac:dyDescent="0.25">
      <c r="A38" s="7"/>
      <c r="B38" s="7"/>
      <c r="C38" s="8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</row>
    <row r="39" spans="1:106" ht="9.9499999999999993" customHeight="1" x14ac:dyDescent="0.25">
      <c r="A39" s="7"/>
      <c r="B39" s="7"/>
      <c r="C39" s="8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</row>
    <row r="40" spans="1:106" ht="9.9499999999999993" customHeight="1" x14ac:dyDescent="0.25">
      <c r="A40" s="7"/>
      <c r="B40" s="7"/>
      <c r="C40" s="8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</row>
    <row r="41" spans="1:106" ht="9.9499999999999993" customHeight="1" x14ac:dyDescent="0.25">
      <c r="A41" s="7"/>
      <c r="B41" s="7"/>
      <c r="C41" s="8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</row>
    <row r="42" spans="1:106" ht="9.9499999999999993" customHeight="1" x14ac:dyDescent="0.25">
      <c r="A42" s="7"/>
      <c r="B42" s="7"/>
      <c r="C42" s="8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</row>
    <row r="43" spans="1:106" ht="9.9499999999999993" customHeight="1" x14ac:dyDescent="0.25">
      <c r="A43" s="7"/>
      <c r="B43" s="7"/>
      <c r="C43" s="8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</row>
    <row r="44" spans="1:106" ht="9.9499999999999993" customHeight="1" x14ac:dyDescent="0.25">
      <c r="A44" s="7"/>
      <c r="B44" s="7"/>
      <c r="C44" s="8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</row>
    <row r="45" spans="1:106" ht="9.9499999999999993" customHeight="1" x14ac:dyDescent="0.25">
      <c r="A45" s="7"/>
      <c r="B45" s="7"/>
      <c r="C45" s="8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</row>
    <row r="46" spans="1:106" ht="9.9499999999999993" customHeight="1" x14ac:dyDescent="0.25">
      <c r="A46" s="7"/>
      <c r="B46" s="7"/>
      <c r="C46" s="8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</row>
    <row r="47" spans="1:106" ht="9.9499999999999993" customHeight="1" x14ac:dyDescent="0.25">
      <c r="A47" s="7"/>
      <c r="B47" s="7"/>
      <c r="C47" s="8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</row>
    <row r="48" spans="1:106" ht="9.9499999999999993" customHeight="1" x14ac:dyDescent="0.25">
      <c r="A48" s="7"/>
      <c r="B48" s="7"/>
      <c r="C48" s="8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</row>
    <row r="49" spans="1:106" ht="9.9499999999999993" customHeight="1" x14ac:dyDescent="0.25">
      <c r="A49" s="7"/>
      <c r="B49" s="7"/>
      <c r="C49" s="8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</row>
    <row r="50" spans="1:106" ht="9.9499999999999993" customHeight="1" x14ac:dyDescent="0.25">
      <c r="A50" s="7"/>
      <c r="B50" s="7"/>
      <c r="C50" s="8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</row>
    <row r="51" spans="1:106" ht="9.9499999999999993" customHeight="1" x14ac:dyDescent="0.25">
      <c r="A51" s="7"/>
      <c r="B51" s="7"/>
      <c r="C51" s="8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</row>
    <row r="52" spans="1:106" ht="9.9499999999999993" customHeight="1" x14ac:dyDescent="0.25">
      <c r="A52" s="7"/>
      <c r="B52" s="7"/>
      <c r="C52" s="8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</row>
    <row r="53" spans="1:106" ht="9.9499999999999993" customHeight="1" x14ac:dyDescent="0.25">
      <c r="A53" s="7"/>
      <c r="B53" s="7"/>
      <c r="C53" s="8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</row>
    <row r="54" spans="1:106" ht="9.9499999999999993" customHeight="1" x14ac:dyDescent="0.25">
      <c r="A54" s="7"/>
      <c r="B54" s="7"/>
      <c r="C54" s="8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</row>
    <row r="55" spans="1:106" ht="9.9499999999999993" customHeight="1" x14ac:dyDescent="0.25">
      <c r="A55" s="7"/>
      <c r="B55" s="7"/>
      <c r="C55" s="8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</row>
    <row r="56" spans="1:106" ht="9.9499999999999993" customHeight="1" x14ac:dyDescent="0.25">
      <c r="A56" s="7"/>
      <c r="B56" s="7"/>
      <c r="C56" s="8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</row>
    <row r="57" spans="1:106" ht="9.9499999999999993" customHeight="1" x14ac:dyDescent="0.25">
      <c r="A57" s="7"/>
      <c r="B57" s="7"/>
      <c r="C57" s="8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</row>
    <row r="58" spans="1:106" ht="9.9499999999999993" customHeight="1" x14ac:dyDescent="0.25">
      <c r="A58" s="7"/>
      <c r="B58" s="7"/>
      <c r="C58" s="8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</row>
    <row r="59" spans="1:106" ht="9.9499999999999993" customHeight="1" x14ac:dyDescent="0.25">
      <c r="A59" s="7"/>
      <c r="B59" s="7"/>
      <c r="C59" s="8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</row>
    <row r="60" spans="1:106" ht="9.9499999999999993" customHeight="1" x14ac:dyDescent="0.25">
      <c r="A60" s="7"/>
      <c r="B60" s="7"/>
      <c r="C60" s="8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</row>
    <row r="61" spans="1:106" ht="9.9499999999999993" customHeight="1" x14ac:dyDescent="0.25">
      <c r="A61" s="7"/>
      <c r="B61" s="7"/>
      <c r="C61" s="8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</row>
    <row r="62" spans="1:106" ht="9.9499999999999993" customHeight="1" x14ac:dyDescent="0.25">
      <c r="A62" s="7"/>
      <c r="B62" s="7"/>
      <c r="C62" s="8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</row>
    <row r="63" spans="1:106" ht="9.9499999999999993" customHeight="1" x14ac:dyDescent="0.25">
      <c r="A63" s="7"/>
      <c r="B63" s="7"/>
      <c r="C63" s="8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</row>
    <row r="64" spans="1:106" ht="9.9499999999999993" customHeight="1" x14ac:dyDescent="0.25">
      <c r="A64" s="7"/>
      <c r="B64" s="7"/>
      <c r="C64" s="8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</row>
    <row r="65" spans="1:106" ht="9.9499999999999993" customHeight="1" x14ac:dyDescent="0.25">
      <c r="A65" s="7"/>
      <c r="B65" s="7"/>
      <c r="C65" s="8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</row>
    <row r="66" spans="1:106" ht="9.9499999999999993" customHeight="1" x14ac:dyDescent="0.25">
      <c r="A66" s="7"/>
      <c r="B66" s="7"/>
      <c r="C66" s="8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</row>
    <row r="67" spans="1:106" ht="9.9499999999999993" customHeight="1" x14ac:dyDescent="0.25">
      <c r="A67" s="7"/>
      <c r="B67" s="7"/>
      <c r="C67" s="8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</row>
    <row r="68" spans="1:106" ht="9.9499999999999993" customHeight="1" x14ac:dyDescent="0.25">
      <c r="A68" s="7"/>
      <c r="B68" s="7"/>
      <c r="C68" s="8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</row>
    <row r="69" spans="1:106" ht="9.9499999999999993" customHeight="1" x14ac:dyDescent="0.25">
      <c r="A69" s="7"/>
      <c r="B69" s="7"/>
      <c r="C69" s="8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</row>
    <row r="70" spans="1:106" ht="9.9499999999999993" customHeight="1" x14ac:dyDescent="0.25">
      <c r="A70" s="7"/>
      <c r="B70" s="7"/>
      <c r="C70" s="8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</row>
    <row r="71" spans="1:106" ht="9.9499999999999993" customHeight="1" x14ac:dyDescent="0.25">
      <c r="A71" s="7"/>
      <c r="B71" s="7"/>
      <c r="C71" s="8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</row>
    <row r="72" spans="1:106" ht="9.9499999999999993" customHeight="1" x14ac:dyDescent="0.25">
      <c r="A72" s="7"/>
      <c r="B72" s="7"/>
      <c r="C72" s="8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</row>
    <row r="73" spans="1:106" ht="9.9499999999999993" customHeight="1" x14ac:dyDescent="0.25">
      <c r="A73" s="7"/>
      <c r="B73" s="7"/>
      <c r="C73" s="8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</row>
    <row r="74" spans="1:106" ht="9.9499999999999993" customHeight="1" x14ac:dyDescent="0.25">
      <c r="A74" s="7"/>
      <c r="B74" s="7"/>
      <c r="C74" s="8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</row>
    <row r="75" spans="1:106" ht="9.9499999999999993" customHeight="1" x14ac:dyDescent="0.25">
      <c r="A75" s="7"/>
      <c r="B75" s="7"/>
      <c r="C75" s="8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</row>
    <row r="76" spans="1:106" ht="9.9499999999999993" customHeight="1" x14ac:dyDescent="0.25">
      <c r="A76" s="7"/>
      <c r="B76" s="7"/>
      <c r="C76" s="8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</row>
    <row r="77" spans="1:106" ht="9.9499999999999993" customHeight="1" x14ac:dyDescent="0.25">
      <c r="A77" s="7"/>
      <c r="B77" s="7"/>
      <c r="C77" s="8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</row>
    <row r="78" spans="1:106" ht="9.9499999999999993" customHeight="1" x14ac:dyDescent="0.25">
      <c r="A78" s="7"/>
      <c r="B78" s="7"/>
      <c r="C78" s="8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</row>
    <row r="79" spans="1:106" ht="9.9499999999999993" customHeight="1" x14ac:dyDescent="0.25">
      <c r="A79" s="7"/>
      <c r="B79" s="7"/>
      <c r="C79" s="8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</row>
    <row r="80" spans="1:106" ht="9.9499999999999993" customHeight="1" x14ac:dyDescent="0.25">
      <c r="A80" s="7"/>
      <c r="B80" s="7"/>
      <c r="C80" s="8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</row>
    <row r="81" spans="1:106" ht="9.9499999999999993" customHeight="1" x14ac:dyDescent="0.25">
      <c r="A81" s="7"/>
      <c r="B81" s="7"/>
      <c r="C81" s="8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</row>
    <row r="82" spans="1:106" ht="9.9499999999999993" customHeight="1" x14ac:dyDescent="0.25">
      <c r="A82" s="7"/>
      <c r="B82" s="7"/>
      <c r="C82" s="8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</row>
    <row r="83" spans="1:106" ht="9.9499999999999993" customHeight="1" x14ac:dyDescent="0.25">
      <c r="A83" s="7"/>
      <c r="B83" s="7"/>
      <c r="C83" s="8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</row>
    <row r="84" spans="1:106" ht="9.9499999999999993" customHeight="1" x14ac:dyDescent="0.25">
      <c r="A84" s="7"/>
      <c r="B84" s="7"/>
      <c r="C84" s="8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</row>
    <row r="85" spans="1:106" ht="9.9499999999999993" customHeight="1" x14ac:dyDescent="0.25">
      <c r="A85" s="7"/>
      <c r="B85" s="7"/>
      <c r="C85" s="8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</row>
    <row r="86" spans="1:106" ht="9.9499999999999993" customHeight="1" x14ac:dyDescent="0.25">
      <c r="A86" s="7"/>
      <c r="B86" s="7"/>
      <c r="C86" s="8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</row>
    <row r="87" spans="1:106" ht="9.9499999999999993" customHeight="1" x14ac:dyDescent="0.25">
      <c r="A87" s="7"/>
      <c r="B87" s="7"/>
      <c r="C87" s="8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</row>
    <row r="88" spans="1:106" ht="9.9499999999999993" customHeight="1" x14ac:dyDescent="0.25">
      <c r="A88" s="7"/>
      <c r="B88" s="7"/>
      <c r="C88" s="8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</row>
    <row r="89" spans="1:106" ht="9.9499999999999993" customHeight="1" x14ac:dyDescent="0.25">
      <c r="A89" s="7"/>
      <c r="B89" s="7"/>
      <c r="C89" s="8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</row>
    <row r="90" spans="1:106" ht="9.9499999999999993" customHeight="1" x14ac:dyDescent="0.25">
      <c r="A90" s="7"/>
      <c r="B90" s="7"/>
      <c r="C90" s="8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</row>
    <row r="91" spans="1:106" ht="9.9499999999999993" customHeight="1" x14ac:dyDescent="0.25">
      <c r="A91" s="7"/>
      <c r="B91" s="7"/>
      <c r="C91" s="8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</row>
    <row r="92" spans="1:106" ht="9.9499999999999993" customHeight="1" x14ac:dyDescent="0.25">
      <c r="A92" s="7"/>
      <c r="B92" s="7"/>
      <c r="C92" s="8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</row>
    <row r="93" spans="1:106" ht="9.9499999999999993" customHeight="1" x14ac:dyDescent="0.25">
      <c r="A93" s="7"/>
      <c r="B93" s="7"/>
      <c r="C93" s="8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</row>
    <row r="94" spans="1:106" ht="9.9499999999999993" customHeight="1" x14ac:dyDescent="0.25">
      <c r="A94" s="7"/>
      <c r="B94" s="7"/>
      <c r="C94" s="8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</row>
    <row r="95" spans="1:106" ht="9.9499999999999993" customHeight="1" x14ac:dyDescent="0.25">
      <c r="A95" s="7"/>
      <c r="B95" s="7"/>
      <c r="C95" s="8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</row>
    <row r="96" spans="1:106" ht="9.9499999999999993" customHeight="1" x14ac:dyDescent="0.25">
      <c r="A96" s="7"/>
      <c r="B96" s="7"/>
      <c r="C96" s="8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</row>
    <row r="97" spans="1:106" ht="9.9499999999999993" customHeight="1" x14ac:dyDescent="0.25">
      <c r="A97" s="7"/>
      <c r="B97" s="7"/>
      <c r="C97" s="8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</row>
    <row r="98" spans="1:106" ht="9.9499999999999993" customHeight="1" x14ac:dyDescent="0.25">
      <c r="A98" s="7"/>
      <c r="B98" s="7"/>
      <c r="C98" s="8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</row>
    <row r="99" spans="1:106" ht="9.9499999999999993" customHeight="1" x14ac:dyDescent="0.25">
      <c r="A99" s="7"/>
      <c r="B99" s="7"/>
      <c r="C99" s="8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</row>
    <row r="100" spans="1:106" ht="9.9499999999999993" customHeight="1" x14ac:dyDescent="0.25">
      <c r="A100" s="7"/>
      <c r="B100" s="7"/>
      <c r="C100" s="8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</row>
    <row r="101" spans="1:106" ht="9.9499999999999993" customHeight="1" x14ac:dyDescent="0.25">
      <c r="A101" s="7"/>
      <c r="B101" s="7"/>
      <c r="C101" s="8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</row>
    <row r="102" spans="1:106" ht="9.9499999999999993" customHeight="1" x14ac:dyDescent="0.25">
      <c r="A102" s="7"/>
      <c r="B102" s="7"/>
      <c r="C102" s="8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</row>
    <row r="103" spans="1:106" ht="9.9499999999999993" customHeight="1" x14ac:dyDescent="0.25">
      <c r="A103" s="7"/>
      <c r="B103" s="7"/>
      <c r="C103" s="8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</row>
    <row r="104" spans="1:106" ht="9.9499999999999993" customHeight="1" x14ac:dyDescent="0.25">
      <c r="A104" s="7"/>
      <c r="B104" s="7"/>
      <c r="C104" s="8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</row>
    <row r="105" spans="1:106" ht="9.9499999999999993" customHeight="1" x14ac:dyDescent="0.25">
      <c r="A105" s="7"/>
      <c r="B105" s="7"/>
      <c r="C105" s="8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</row>
    <row r="106" spans="1:106" ht="9.9499999999999993" customHeight="1" x14ac:dyDescent="0.25">
      <c r="A106" s="7"/>
      <c r="B106" s="7"/>
      <c r="C106" s="8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</row>
    <row r="107" spans="1:106" ht="9.9499999999999993" customHeight="1" x14ac:dyDescent="0.25">
      <c r="A107" s="7"/>
      <c r="B107" s="7"/>
      <c r="C107" s="8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</row>
    <row r="108" spans="1:106" ht="9.9499999999999993" customHeight="1" x14ac:dyDescent="0.25">
      <c r="A108" s="7"/>
      <c r="B108" s="7"/>
      <c r="C108" s="8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</row>
    <row r="109" spans="1:106" ht="9.9499999999999993" customHeight="1" x14ac:dyDescent="0.25">
      <c r="A109" s="7"/>
      <c r="B109" s="7"/>
      <c r="C109" s="8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</row>
    <row r="110" spans="1:106" ht="9.9499999999999993" customHeight="1" x14ac:dyDescent="0.25">
      <c r="A110" s="7"/>
      <c r="B110" s="7"/>
      <c r="C110" s="8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L110" s="9"/>
      <c r="CM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  <c r="CZ110" s="9"/>
      <c r="DA110" s="9"/>
      <c r="DB110" s="9"/>
    </row>
    <row r="111" spans="1:106" ht="9.9499999999999993" customHeight="1" x14ac:dyDescent="0.25">
      <c r="A111" s="7"/>
      <c r="B111" s="7"/>
      <c r="C111" s="8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</row>
    <row r="112" spans="1:106" ht="9.9499999999999993" customHeight="1" x14ac:dyDescent="0.25">
      <c r="A112" s="7"/>
      <c r="B112" s="7"/>
      <c r="C112" s="8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</row>
    <row r="113" spans="1:106" ht="9.9499999999999993" customHeight="1" x14ac:dyDescent="0.25">
      <c r="A113" s="7"/>
      <c r="B113" s="7"/>
      <c r="C113" s="8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</row>
    <row r="114" spans="1:106" ht="9.9499999999999993" customHeight="1" x14ac:dyDescent="0.25">
      <c r="A114" s="7"/>
      <c r="B114" s="7"/>
      <c r="C114" s="8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</row>
    <row r="115" spans="1:106" ht="9.9499999999999993" customHeight="1" x14ac:dyDescent="0.25">
      <c r="A115" s="7"/>
      <c r="B115" s="7"/>
      <c r="C115" s="8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</row>
    <row r="116" spans="1:106" ht="9.9499999999999993" customHeight="1" x14ac:dyDescent="0.25">
      <c r="A116" s="7"/>
      <c r="B116" s="7"/>
      <c r="C116" s="8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  <c r="DA116" s="9"/>
      <c r="DB116" s="9"/>
    </row>
    <row r="117" spans="1:106" ht="9.9499999999999993" customHeight="1" x14ac:dyDescent="0.25">
      <c r="A117" s="7"/>
      <c r="B117" s="7"/>
      <c r="C117" s="8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9"/>
      <c r="CK117" s="9"/>
      <c r="CL117" s="9"/>
      <c r="CM117" s="9"/>
      <c r="CN117" s="9"/>
      <c r="CO117" s="9"/>
      <c r="CP117" s="9"/>
      <c r="CQ117" s="9"/>
      <c r="CR117" s="9"/>
      <c r="CS117" s="9"/>
      <c r="CT117" s="9"/>
      <c r="CU117" s="9"/>
      <c r="CV117" s="9"/>
      <c r="CW117" s="9"/>
      <c r="CX117" s="9"/>
      <c r="CY117" s="9"/>
      <c r="CZ117" s="9"/>
      <c r="DA117" s="9"/>
      <c r="DB117" s="9"/>
    </row>
    <row r="118" spans="1:106" ht="9.9499999999999993" customHeight="1" x14ac:dyDescent="0.25">
      <c r="A118" s="7"/>
      <c r="B118" s="7"/>
      <c r="C118" s="8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  <c r="DA118" s="9"/>
      <c r="DB118" s="9"/>
    </row>
    <row r="119" spans="1:106" ht="9.9499999999999993" customHeight="1" x14ac:dyDescent="0.25">
      <c r="A119" s="7"/>
      <c r="B119" s="7"/>
      <c r="C119" s="8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  <c r="CJ119" s="9"/>
      <c r="CK119" s="9"/>
      <c r="CL119" s="9"/>
      <c r="CM119" s="9"/>
      <c r="CN119" s="9"/>
      <c r="CO119" s="9"/>
      <c r="CP119" s="9"/>
      <c r="CQ119" s="9"/>
      <c r="CR119" s="9"/>
      <c r="CS119" s="9"/>
      <c r="CT119" s="9"/>
      <c r="CU119" s="9"/>
      <c r="CV119" s="9"/>
      <c r="CW119" s="9"/>
      <c r="CX119" s="9"/>
      <c r="CY119" s="9"/>
      <c r="CZ119" s="9"/>
      <c r="DA119" s="9"/>
      <c r="DB119" s="9"/>
    </row>
    <row r="120" spans="1:106" ht="9.9499999999999993" customHeight="1" x14ac:dyDescent="0.25">
      <c r="A120" s="7"/>
      <c r="B120" s="7"/>
      <c r="C120" s="8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</row>
    <row r="121" spans="1:106" ht="9.9499999999999993" customHeight="1" x14ac:dyDescent="0.25">
      <c r="A121" s="7"/>
      <c r="B121" s="7"/>
      <c r="C121" s="8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</row>
    <row r="122" spans="1:106" ht="9.9499999999999993" customHeight="1" x14ac:dyDescent="0.25">
      <c r="A122" s="7"/>
      <c r="B122" s="7"/>
      <c r="C122" s="8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</row>
    <row r="123" spans="1:106" ht="9.9499999999999993" customHeight="1" x14ac:dyDescent="0.25">
      <c r="A123" s="7"/>
      <c r="B123" s="7"/>
      <c r="C123" s="8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</row>
    <row r="124" spans="1:106" ht="9.9499999999999993" customHeight="1" x14ac:dyDescent="0.25">
      <c r="A124" s="7"/>
      <c r="B124" s="7"/>
      <c r="C124" s="8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</row>
    <row r="125" spans="1:106" ht="9.9499999999999993" customHeight="1" x14ac:dyDescent="0.25">
      <c r="A125" s="7"/>
      <c r="B125" s="7"/>
      <c r="C125" s="8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</row>
    <row r="126" spans="1:106" ht="9.9499999999999993" customHeight="1" x14ac:dyDescent="0.25">
      <c r="A126" s="7"/>
      <c r="B126" s="7"/>
      <c r="C126" s="8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</row>
    <row r="127" spans="1:106" ht="9.9499999999999993" customHeight="1" x14ac:dyDescent="0.25">
      <c r="A127" s="7"/>
      <c r="B127" s="7"/>
      <c r="C127" s="8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</row>
    <row r="128" spans="1:106" ht="9.9499999999999993" customHeight="1" x14ac:dyDescent="0.25">
      <c r="A128" s="7"/>
      <c r="B128" s="7"/>
      <c r="C128" s="8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L128" s="9"/>
      <c r="CM128" s="9"/>
      <c r="CN128" s="9"/>
      <c r="CO128" s="9"/>
      <c r="CP128" s="9"/>
      <c r="CQ128" s="9"/>
      <c r="CR128" s="9"/>
      <c r="CS128" s="9"/>
      <c r="CT128" s="9"/>
      <c r="CU128" s="9"/>
      <c r="CV128" s="9"/>
      <c r="CW128" s="9"/>
      <c r="CX128" s="9"/>
      <c r="CY128" s="9"/>
      <c r="CZ128" s="9"/>
      <c r="DA128" s="9"/>
      <c r="DB128" s="9"/>
    </row>
    <row r="129" spans="1:106" ht="9.9499999999999993" customHeight="1" x14ac:dyDescent="0.25">
      <c r="A129" s="7"/>
      <c r="B129" s="7"/>
      <c r="C129" s="8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</row>
    <row r="130" spans="1:106" ht="9.9499999999999993" customHeight="1" x14ac:dyDescent="0.25">
      <c r="A130" s="7"/>
      <c r="B130" s="7"/>
      <c r="C130" s="8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</row>
    <row r="131" spans="1:106" ht="9.9499999999999993" customHeight="1" x14ac:dyDescent="0.25">
      <c r="A131" s="7"/>
      <c r="B131" s="7"/>
      <c r="C131" s="8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</row>
    <row r="132" spans="1:106" ht="9.9499999999999993" customHeight="1" x14ac:dyDescent="0.25">
      <c r="A132" s="7"/>
      <c r="B132" s="7"/>
      <c r="C132" s="8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</row>
    <row r="133" spans="1:106" ht="9.9499999999999993" customHeight="1" x14ac:dyDescent="0.25">
      <c r="A133" s="7"/>
      <c r="B133" s="7"/>
      <c r="C133" s="8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  <c r="DA133" s="9"/>
      <c r="DB133" s="9"/>
    </row>
    <row r="134" spans="1:106" ht="9.9499999999999993" customHeight="1" x14ac:dyDescent="0.25">
      <c r="A134" s="7"/>
      <c r="B134" s="7"/>
      <c r="C134" s="8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</row>
    <row r="135" spans="1:106" ht="9.9499999999999993" customHeight="1" x14ac:dyDescent="0.25">
      <c r="A135" s="7"/>
      <c r="B135" s="7"/>
      <c r="C135" s="8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9"/>
      <c r="CK135" s="9"/>
      <c r="CL135" s="9"/>
      <c r="CM135" s="9"/>
      <c r="CN135" s="9"/>
      <c r="CO135" s="9"/>
      <c r="CP135" s="9"/>
      <c r="CQ135" s="9"/>
      <c r="CR135" s="9"/>
      <c r="CS135" s="9"/>
      <c r="CT135" s="9"/>
      <c r="CU135" s="9"/>
      <c r="CV135" s="9"/>
      <c r="CW135" s="9"/>
      <c r="CX135" s="9"/>
      <c r="CY135" s="9"/>
      <c r="CZ135" s="9"/>
      <c r="DA135" s="9"/>
      <c r="DB135" s="9"/>
    </row>
    <row r="136" spans="1:106" ht="9.9499999999999993" customHeight="1" x14ac:dyDescent="0.25">
      <c r="A136" s="7"/>
      <c r="B136" s="7"/>
      <c r="C136" s="8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9"/>
      <c r="CK136" s="9"/>
      <c r="CL136" s="9"/>
      <c r="CM136" s="9"/>
      <c r="CN136" s="9"/>
      <c r="CO136" s="9"/>
      <c r="CP136" s="9"/>
      <c r="CQ136" s="9"/>
      <c r="CR136" s="9"/>
      <c r="CS136" s="9"/>
      <c r="CT136" s="9"/>
      <c r="CU136" s="9"/>
      <c r="CV136" s="9"/>
      <c r="CW136" s="9"/>
      <c r="CX136" s="9"/>
      <c r="CY136" s="9"/>
      <c r="CZ136" s="9"/>
      <c r="DA136" s="9"/>
      <c r="DB136" s="9"/>
    </row>
    <row r="137" spans="1:106" ht="9.9499999999999993" customHeight="1" x14ac:dyDescent="0.25">
      <c r="A137" s="7"/>
      <c r="B137" s="7"/>
      <c r="C137" s="8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9"/>
      <c r="CM137" s="9"/>
      <c r="CN137" s="9"/>
      <c r="CO137" s="9"/>
      <c r="CP137" s="9"/>
      <c r="CQ137" s="9"/>
      <c r="CR137" s="9"/>
      <c r="CS137" s="9"/>
      <c r="CT137" s="9"/>
      <c r="CU137" s="9"/>
      <c r="CV137" s="9"/>
      <c r="CW137" s="9"/>
      <c r="CX137" s="9"/>
      <c r="CY137" s="9"/>
      <c r="CZ137" s="9"/>
      <c r="DA137" s="9"/>
      <c r="DB137" s="9"/>
    </row>
    <row r="138" spans="1:106" ht="9.9499999999999993" customHeight="1" x14ac:dyDescent="0.25">
      <c r="A138" s="7"/>
      <c r="B138" s="7"/>
      <c r="C138" s="8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9"/>
      <c r="CK138" s="9"/>
      <c r="CL138" s="9"/>
      <c r="CM138" s="9"/>
      <c r="CN138" s="9"/>
      <c r="CO138" s="9"/>
      <c r="CP138" s="9"/>
      <c r="CQ138" s="9"/>
      <c r="CR138" s="9"/>
      <c r="CS138" s="9"/>
      <c r="CT138" s="9"/>
      <c r="CU138" s="9"/>
      <c r="CV138" s="9"/>
      <c r="CW138" s="9"/>
      <c r="CX138" s="9"/>
      <c r="CY138" s="9"/>
      <c r="CZ138" s="9"/>
      <c r="DA138" s="9"/>
      <c r="DB138" s="9"/>
    </row>
    <row r="139" spans="1:106" ht="9.9499999999999993" customHeight="1" x14ac:dyDescent="0.25">
      <c r="A139" s="7"/>
      <c r="B139" s="7"/>
      <c r="C139" s="8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L139" s="9"/>
      <c r="CM139" s="9"/>
      <c r="CN139" s="9"/>
      <c r="CO139" s="9"/>
      <c r="CP139" s="9"/>
      <c r="CQ139" s="9"/>
      <c r="CR139" s="9"/>
      <c r="CS139" s="9"/>
      <c r="CT139" s="9"/>
      <c r="CU139" s="9"/>
      <c r="CV139" s="9"/>
      <c r="CW139" s="9"/>
      <c r="CX139" s="9"/>
      <c r="CY139" s="9"/>
      <c r="CZ139" s="9"/>
      <c r="DA139" s="9"/>
      <c r="DB139" s="9"/>
    </row>
    <row r="140" spans="1:106" ht="9.9499999999999993" customHeight="1" x14ac:dyDescent="0.25">
      <c r="A140" s="7"/>
      <c r="B140" s="7"/>
      <c r="C140" s="8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  <c r="CW140" s="9"/>
      <c r="CX140" s="9"/>
      <c r="CY140" s="9"/>
      <c r="CZ140" s="9"/>
      <c r="DA140" s="9"/>
      <c r="DB140" s="9"/>
    </row>
    <row r="141" spans="1:106" ht="9.9499999999999993" customHeight="1" x14ac:dyDescent="0.25">
      <c r="A141" s="7"/>
      <c r="B141" s="7"/>
      <c r="C141" s="8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9"/>
      <c r="CE141" s="9"/>
      <c r="CF141" s="9"/>
      <c r="CG141" s="9"/>
      <c r="CH141" s="9"/>
      <c r="CI141" s="9"/>
      <c r="CJ141" s="9"/>
      <c r="CK141" s="9"/>
      <c r="CL141" s="9"/>
      <c r="CM141" s="9"/>
      <c r="CN141" s="9"/>
      <c r="CO141" s="9"/>
      <c r="CP141" s="9"/>
      <c r="CQ141" s="9"/>
      <c r="CR141" s="9"/>
      <c r="CS141" s="9"/>
      <c r="CT141" s="9"/>
      <c r="CU141" s="9"/>
      <c r="CV141" s="9"/>
      <c r="CW141" s="9"/>
      <c r="CX141" s="9"/>
      <c r="CY141" s="9"/>
      <c r="CZ141" s="9"/>
      <c r="DA141" s="9"/>
      <c r="DB141" s="9"/>
    </row>
    <row r="142" spans="1:106" ht="9.9499999999999993" customHeight="1" x14ac:dyDescent="0.25">
      <c r="A142" s="7"/>
      <c r="B142" s="7"/>
      <c r="C142" s="8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9"/>
      <c r="CK142" s="9"/>
      <c r="CL142" s="9"/>
      <c r="CM142" s="9"/>
      <c r="CN142" s="9"/>
      <c r="CO142" s="9"/>
      <c r="CP142" s="9"/>
      <c r="CQ142" s="9"/>
      <c r="CR142" s="9"/>
      <c r="CS142" s="9"/>
      <c r="CT142" s="9"/>
      <c r="CU142" s="9"/>
      <c r="CV142" s="9"/>
      <c r="CW142" s="9"/>
      <c r="CX142" s="9"/>
      <c r="CY142" s="9"/>
      <c r="CZ142" s="9"/>
      <c r="DA142" s="9"/>
      <c r="DB142" s="9"/>
    </row>
    <row r="143" spans="1:106" ht="9.9499999999999993" customHeight="1" x14ac:dyDescent="0.25">
      <c r="A143" s="7"/>
      <c r="B143" s="7"/>
      <c r="C143" s="8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  <c r="CJ143" s="9"/>
      <c r="CK143" s="9"/>
      <c r="CL143" s="9"/>
      <c r="CM143" s="9"/>
      <c r="CN143" s="9"/>
      <c r="CO143" s="9"/>
      <c r="CP143" s="9"/>
      <c r="CQ143" s="9"/>
      <c r="CR143" s="9"/>
      <c r="CS143" s="9"/>
      <c r="CT143" s="9"/>
      <c r="CU143" s="9"/>
      <c r="CV143" s="9"/>
      <c r="CW143" s="9"/>
      <c r="CX143" s="9"/>
      <c r="CY143" s="9"/>
      <c r="CZ143" s="9"/>
      <c r="DA143" s="9"/>
      <c r="DB143" s="9"/>
    </row>
    <row r="144" spans="1:106" ht="9.9499999999999993" customHeight="1" x14ac:dyDescent="0.25">
      <c r="A144" s="7"/>
      <c r="B144" s="7"/>
      <c r="C144" s="8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</row>
    <row r="145" spans="1:106" ht="9.9499999999999993" customHeight="1" x14ac:dyDescent="0.25">
      <c r="A145" s="7"/>
      <c r="B145" s="7"/>
      <c r="C145" s="8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  <c r="DA145" s="9"/>
      <c r="DB145" s="9"/>
    </row>
    <row r="146" spans="1:106" ht="9.9499999999999993" customHeight="1" x14ac:dyDescent="0.25">
      <c r="A146" s="7"/>
      <c r="B146" s="7"/>
      <c r="C146" s="8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9"/>
      <c r="CK146" s="9"/>
      <c r="CL146" s="9"/>
      <c r="CM146" s="9"/>
      <c r="CN146" s="9"/>
      <c r="CO146" s="9"/>
      <c r="CP146" s="9"/>
      <c r="CQ146" s="9"/>
      <c r="CR146" s="9"/>
      <c r="CS146" s="9"/>
      <c r="CT146" s="9"/>
      <c r="CU146" s="9"/>
      <c r="CV146" s="9"/>
      <c r="CW146" s="9"/>
      <c r="CX146" s="9"/>
      <c r="CY146" s="9"/>
      <c r="CZ146" s="9"/>
      <c r="DA146" s="9"/>
      <c r="DB146" s="9"/>
    </row>
    <row r="147" spans="1:106" ht="9.9499999999999993" customHeight="1" x14ac:dyDescent="0.25">
      <c r="A147" s="7"/>
      <c r="B147" s="7"/>
      <c r="C147" s="8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  <c r="CJ147" s="9"/>
      <c r="CK147" s="9"/>
      <c r="CL147" s="9"/>
      <c r="CM147" s="9"/>
      <c r="CN147" s="9"/>
      <c r="CO147" s="9"/>
      <c r="CP147" s="9"/>
      <c r="CQ147" s="9"/>
      <c r="CR147" s="9"/>
      <c r="CS147" s="9"/>
      <c r="CT147" s="9"/>
      <c r="CU147" s="9"/>
      <c r="CV147" s="9"/>
      <c r="CW147" s="9"/>
      <c r="CX147" s="9"/>
      <c r="CY147" s="9"/>
      <c r="CZ147" s="9"/>
      <c r="DA147" s="9"/>
      <c r="DB147" s="9"/>
    </row>
    <row r="148" spans="1:106" ht="9.9499999999999993" customHeight="1" x14ac:dyDescent="0.25">
      <c r="A148" s="7"/>
      <c r="B148" s="7"/>
      <c r="C148" s="8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L148" s="9"/>
      <c r="CM148" s="9"/>
      <c r="CN148" s="9"/>
      <c r="CO148" s="9"/>
      <c r="CP148" s="9"/>
      <c r="CQ148" s="9"/>
      <c r="CR148" s="9"/>
      <c r="CS148" s="9"/>
      <c r="CT148" s="9"/>
      <c r="CU148" s="9"/>
      <c r="CV148" s="9"/>
      <c r="CW148" s="9"/>
      <c r="CX148" s="9"/>
      <c r="CY148" s="9"/>
      <c r="CZ148" s="9"/>
      <c r="DA148" s="9"/>
      <c r="DB148" s="9"/>
    </row>
    <row r="149" spans="1:106" ht="9.9499999999999993" customHeight="1" x14ac:dyDescent="0.25">
      <c r="A149" s="7"/>
      <c r="B149" s="7"/>
      <c r="C149" s="8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</row>
    <row r="150" spans="1:106" ht="9.9499999999999993" customHeight="1" x14ac:dyDescent="0.25">
      <c r="A150" s="7"/>
      <c r="B150" s="7"/>
      <c r="C150" s="8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L150" s="9"/>
      <c r="CM150" s="9"/>
      <c r="CN150" s="9"/>
      <c r="CO150" s="9"/>
      <c r="CP150" s="9"/>
      <c r="CQ150" s="9"/>
      <c r="CR150" s="9"/>
      <c r="CS150" s="9"/>
      <c r="CT150" s="9"/>
      <c r="CU150" s="9"/>
      <c r="CV150" s="9"/>
      <c r="CW150" s="9"/>
      <c r="CX150" s="9"/>
      <c r="CY150" s="9"/>
      <c r="CZ150" s="9"/>
      <c r="DA150" s="9"/>
      <c r="DB150" s="9"/>
    </row>
    <row r="151" spans="1:106" ht="9.9499999999999993" customHeight="1" x14ac:dyDescent="0.25">
      <c r="A151" s="7"/>
      <c r="B151" s="7"/>
      <c r="C151" s="8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</row>
    <row r="152" spans="1:106" ht="9.9499999999999993" customHeight="1" x14ac:dyDescent="0.25">
      <c r="A152" s="7"/>
      <c r="B152" s="7"/>
      <c r="C152" s="8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</row>
    <row r="153" spans="1:106" ht="9.9499999999999993" customHeight="1" x14ac:dyDescent="0.25">
      <c r="A153" s="7"/>
      <c r="B153" s="7"/>
      <c r="C153" s="8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  <c r="CJ153" s="9"/>
      <c r="CK153" s="9"/>
      <c r="CL153" s="9"/>
      <c r="CM153" s="9"/>
      <c r="CN153" s="9"/>
      <c r="CO153" s="9"/>
      <c r="CP153" s="9"/>
      <c r="CQ153" s="9"/>
      <c r="CR153" s="9"/>
      <c r="CS153" s="9"/>
      <c r="CT153" s="9"/>
      <c r="CU153" s="9"/>
      <c r="CV153" s="9"/>
      <c r="CW153" s="9"/>
      <c r="CX153" s="9"/>
      <c r="CY153" s="9"/>
      <c r="CZ153" s="9"/>
      <c r="DA153" s="9"/>
      <c r="DB153" s="9"/>
    </row>
    <row r="154" spans="1:106" ht="9.9499999999999993" customHeight="1" x14ac:dyDescent="0.25">
      <c r="A154" s="7"/>
      <c r="B154" s="7"/>
      <c r="C154" s="8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9"/>
      <c r="CK154" s="9"/>
      <c r="CL154" s="9"/>
      <c r="CM154" s="9"/>
      <c r="CN154" s="9"/>
      <c r="CO154" s="9"/>
      <c r="CP154" s="9"/>
      <c r="CQ154" s="9"/>
      <c r="CR154" s="9"/>
      <c r="CS154" s="9"/>
      <c r="CT154" s="9"/>
      <c r="CU154" s="9"/>
      <c r="CV154" s="9"/>
      <c r="CW154" s="9"/>
      <c r="CX154" s="9"/>
      <c r="CY154" s="9"/>
      <c r="CZ154" s="9"/>
      <c r="DA154" s="9"/>
      <c r="DB154" s="9"/>
    </row>
    <row r="155" spans="1:106" ht="9.9499999999999993" customHeight="1" x14ac:dyDescent="0.25">
      <c r="A155" s="7"/>
      <c r="B155" s="7"/>
      <c r="C155" s="8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9"/>
      <c r="CZ155" s="9"/>
      <c r="DA155" s="9"/>
      <c r="DB155" s="9"/>
    </row>
    <row r="156" spans="1:106" ht="9.9499999999999993" customHeight="1" x14ac:dyDescent="0.25">
      <c r="A156" s="7"/>
      <c r="B156" s="7"/>
      <c r="C156" s="8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</row>
    <row r="157" spans="1:106" ht="9.9499999999999993" customHeight="1" x14ac:dyDescent="0.25">
      <c r="A157" s="7"/>
      <c r="B157" s="7"/>
      <c r="C157" s="8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</row>
    <row r="158" spans="1:106" ht="9.9499999999999993" customHeight="1" x14ac:dyDescent="0.25">
      <c r="A158" s="7"/>
      <c r="B158" s="7"/>
      <c r="C158" s="8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</row>
    <row r="159" spans="1:106" ht="9.9499999999999993" customHeight="1" x14ac:dyDescent="0.25">
      <c r="A159" s="7"/>
      <c r="B159" s="7"/>
      <c r="C159" s="8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</row>
    <row r="160" spans="1:106" ht="9.9499999999999993" customHeight="1" x14ac:dyDescent="0.25">
      <c r="A160" s="7"/>
      <c r="B160" s="7"/>
      <c r="C160" s="8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  <c r="CZ160" s="9"/>
      <c r="DA160" s="9"/>
      <c r="DB160" s="9"/>
    </row>
    <row r="161" spans="1:106" ht="9.9499999999999993" customHeight="1" x14ac:dyDescent="0.25">
      <c r="A161" s="7"/>
      <c r="B161" s="7"/>
      <c r="C161" s="8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</row>
    <row r="162" spans="1:106" ht="9.9499999999999993" customHeight="1" x14ac:dyDescent="0.25">
      <c r="A162" s="7"/>
      <c r="B162" s="7"/>
      <c r="C162" s="8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  <c r="CE162" s="9"/>
      <c r="CF162" s="9"/>
      <c r="CG162" s="9"/>
      <c r="CH162" s="9"/>
      <c r="CI162" s="9"/>
      <c r="CJ162" s="9"/>
      <c r="CK162" s="9"/>
      <c r="CL162" s="9"/>
      <c r="CM162" s="9"/>
      <c r="CN162" s="9"/>
      <c r="CO162" s="9"/>
      <c r="CP162" s="9"/>
      <c r="CQ162" s="9"/>
      <c r="CR162" s="9"/>
      <c r="CS162" s="9"/>
      <c r="CT162" s="9"/>
      <c r="CU162" s="9"/>
      <c r="CV162" s="9"/>
      <c r="CW162" s="9"/>
      <c r="CX162" s="9"/>
      <c r="CY162" s="9"/>
      <c r="CZ162" s="9"/>
      <c r="DA162" s="9"/>
      <c r="DB162" s="9"/>
    </row>
    <row r="163" spans="1:106" ht="9.9499999999999993" customHeight="1" x14ac:dyDescent="0.25">
      <c r="A163" s="7"/>
      <c r="B163" s="7"/>
      <c r="C163" s="8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  <c r="CE163" s="9"/>
      <c r="CF163" s="9"/>
      <c r="CG163" s="9"/>
      <c r="CH163" s="9"/>
      <c r="CI163" s="9"/>
      <c r="CJ163" s="9"/>
      <c r="CK163" s="9"/>
      <c r="CL163" s="9"/>
      <c r="CM163" s="9"/>
      <c r="CN163" s="9"/>
      <c r="CO163" s="9"/>
      <c r="CP163" s="9"/>
      <c r="CQ163" s="9"/>
      <c r="CR163" s="9"/>
      <c r="CS163" s="9"/>
      <c r="CT163" s="9"/>
      <c r="CU163" s="9"/>
      <c r="CV163" s="9"/>
      <c r="CW163" s="9"/>
      <c r="CX163" s="9"/>
      <c r="CY163" s="9"/>
      <c r="CZ163" s="9"/>
      <c r="DA163" s="9"/>
      <c r="DB163" s="9"/>
    </row>
    <row r="164" spans="1:106" ht="9.9499999999999993" customHeight="1" x14ac:dyDescent="0.25">
      <c r="A164" s="7"/>
      <c r="B164" s="7"/>
      <c r="C164" s="8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  <c r="CE164" s="9"/>
      <c r="CF164" s="9"/>
      <c r="CG164" s="9"/>
      <c r="CH164" s="9"/>
      <c r="CI164" s="9"/>
      <c r="CJ164" s="9"/>
      <c r="CK164" s="9"/>
      <c r="CL164" s="9"/>
      <c r="CM164" s="9"/>
      <c r="CN164" s="9"/>
      <c r="CO164" s="9"/>
      <c r="CP164" s="9"/>
      <c r="CQ164" s="9"/>
      <c r="CR164" s="9"/>
      <c r="CS164" s="9"/>
      <c r="CT164" s="9"/>
      <c r="CU164" s="9"/>
      <c r="CV164" s="9"/>
      <c r="CW164" s="9"/>
      <c r="CX164" s="9"/>
      <c r="CY164" s="9"/>
      <c r="CZ164" s="9"/>
      <c r="DA164" s="9"/>
      <c r="DB164" s="9"/>
    </row>
    <row r="165" spans="1:106" ht="9.9499999999999993" customHeight="1" x14ac:dyDescent="0.25">
      <c r="A165" s="7"/>
      <c r="B165" s="7"/>
      <c r="C165" s="8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  <c r="CE165" s="9"/>
      <c r="CF165" s="9"/>
      <c r="CG165" s="9"/>
      <c r="CH165" s="9"/>
      <c r="CI165" s="9"/>
      <c r="CJ165" s="9"/>
      <c r="CK165" s="9"/>
      <c r="CL165" s="9"/>
      <c r="CM165" s="9"/>
      <c r="CN165" s="9"/>
      <c r="CO165" s="9"/>
      <c r="CP165" s="9"/>
      <c r="CQ165" s="9"/>
      <c r="CR165" s="9"/>
      <c r="CS165" s="9"/>
      <c r="CT165" s="9"/>
      <c r="CU165" s="9"/>
      <c r="CV165" s="9"/>
      <c r="CW165" s="9"/>
      <c r="CX165" s="9"/>
      <c r="CY165" s="9"/>
      <c r="CZ165" s="9"/>
      <c r="DA165" s="9"/>
      <c r="DB165" s="9"/>
    </row>
    <row r="166" spans="1:106" ht="9.9499999999999993" customHeight="1" x14ac:dyDescent="0.25">
      <c r="A166" s="7"/>
      <c r="B166" s="7"/>
      <c r="C166" s="8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  <c r="BZ166" s="9"/>
      <c r="CA166" s="9"/>
      <c r="CB166" s="9"/>
      <c r="CC166" s="9"/>
      <c r="CD166" s="9"/>
      <c r="CE166" s="9"/>
      <c r="CF166" s="9"/>
      <c r="CG166" s="9"/>
      <c r="CH166" s="9"/>
      <c r="CI166" s="9"/>
      <c r="CJ166" s="9"/>
      <c r="CK166" s="9"/>
      <c r="CL166" s="9"/>
      <c r="CM166" s="9"/>
      <c r="CN166" s="9"/>
      <c r="CO166" s="9"/>
      <c r="CP166" s="9"/>
      <c r="CQ166" s="9"/>
      <c r="CR166" s="9"/>
      <c r="CS166" s="9"/>
      <c r="CT166" s="9"/>
      <c r="CU166" s="9"/>
      <c r="CV166" s="9"/>
      <c r="CW166" s="9"/>
      <c r="CX166" s="9"/>
      <c r="CY166" s="9"/>
      <c r="CZ166" s="9"/>
      <c r="DA166" s="9"/>
      <c r="DB166" s="9"/>
    </row>
    <row r="167" spans="1:106" ht="9.9499999999999993" customHeight="1" x14ac:dyDescent="0.25">
      <c r="A167" s="7"/>
      <c r="B167" s="7"/>
      <c r="C167" s="8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  <c r="CJ167" s="9"/>
      <c r="CK167" s="9"/>
      <c r="CL167" s="9"/>
      <c r="CM167" s="9"/>
      <c r="CN167" s="9"/>
      <c r="CO167" s="9"/>
      <c r="CP167" s="9"/>
      <c r="CQ167" s="9"/>
      <c r="CR167" s="9"/>
      <c r="CS167" s="9"/>
      <c r="CT167" s="9"/>
      <c r="CU167" s="9"/>
      <c r="CV167" s="9"/>
      <c r="CW167" s="9"/>
      <c r="CX167" s="9"/>
      <c r="CY167" s="9"/>
      <c r="CZ167" s="9"/>
      <c r="DA167" s="9"/>
      <c r="DB167" s="9"/>
    </row>
    <row r="168" spans="1:106" ht="9.9499999999999993" customHeight="1" x14ac:dyDescent="0.25">
      <c r="A168" s="7"/>
      <c r="B168" s="7"/>
      <c r="C168" s="8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9"/>
      <c r="CE168" s="9"/>
      <c r="CF168" s="9"/>
      <c r="CG168" s="9"/>
      <c r="CH168" s="9"/>
      <c r="CI168" s="9"/>
      <c r="CJ168" s="9"/>
      <c r="CK168" s="9"/>
      <c r="CL168" s="9"/>
      <c r="CM168" s="9"/>
      <c r="CN168" s="9"/>
      <c r="CO168" s="9"/>
      <c r="CP168" s="9"/>
      <c r="CQ168" s="9"/>
      <c r="CR168" s="9"/>
      <c r="CS168" s="9"/>
      <c r="CT168" s="9"/>
      <c r="CU168" s="9"/>
      <c r="CV168" s="9"/>
      <c r="CW168" s="9"/>
      <c r="CX168" s="9"/>
      <c r="CY168" s="9"/>
      <c r="CZ168" s="9"/>
      <c r="DA168" s="9"/>
      <c r="DB168" s="9"/>
    </row>
    <row r="169" spans="1:106" ht="9.9499999999999993" customHeight="1" x14ac:dyDescent="0.25">
      <c r="A169" s="7"/>
      <c r="B169" s="7"/>
      <c r="C169" s="8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  <c r="CJ169" s="9"/>
      <c r="CK169" s="9"/>
      <c r="CL169" s="9"/>
      <c r="CM169" s="9"/>
      <c r="CN169" s="9"/>
      <c r="CO169" s="9"/>
      <c r="CP169" s="9"/>
      <c r="CQ169" s="9"/>
      <c r="CR169" s="9"/>
      <c r="CS169" s="9"/>
      <c r="CT169" s="9"/>
      <c r="CU169" s="9"/>
      <c r="CV169" s="9"/>
      <c r="CW169" s="9"/>
      <c r="CX169" s="9"/>
      <c r="CY169" s="9"/>
      <c r="CZ169" s="9"/>
      <c r="DA169" s="9"/>
      <c r="DB169" s="9"/>
    </row>
    <row r="170" spans="1:106" ht="9.9499999999999993" customHeight="1" x14ac:dyDescent="0.25">
      <c r="A170" s="7"/>
      <c r="B170" s="7"/>
      <c r="C170" s="8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  <c r="CJ170" s="9"/>
      <c r="CK170" s="9"/>
      <c r="CL170" s="9"/>
      <c r="CM170" s="9"/>
      <c r="CN170" s="9"/>
      <c r="CO170" s="9"/>
      <c r="CP170" s="9"/>
      <c r="CQ170" s="9"/>
      <c r="CR170" s="9"/>
      <c r="CS170" s="9"/>
      <c r="CT170" s="9"/>
      <c r="CU170" s="9"/>
      <c r="CV170" s="9"/>
      <c r="CW170" s="9"/>
      <c r="CX170" s="9"/>
      <c r="CY170" s="9"/>
      <c r="CZ170" s="9"/>
      <c r="DA170" s="9"/>
      <c r="DB170" s="9"/>
    </row>
    <row r="171" spans="1:106" ht="9.9499999999999993" customHeight="1" x14ac:dyDescent="0.25">
      <c r="A171" s="7"/>
      <c r="B171" s="7"/>
      <c r="C171" s="8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L171" s="9"/>
      <c r="CM171" s="9"/>
      <c r="CN171" s="9"/>
      <c r="CO171" s="9"/>
      <c r="CP171" s="9"/>
      <c r="CQ171" s="9"/>
      <c r="CR171" s="9"/>
      <c r="CS171" s="9"/>
      <c r="CT171" s="9"/>
      <c r="CU171" s="9"/>
      <c r="CV171" s="9"/>
      <c r="CW171" s="9"/>
      <c r="CX171" s="9"/>
      <c r="CY171" s="9"/>
      <c r="CZ171" s="9"/>
      <c r="DA171" s="9"/>
      <c r="DB171" s="9"/>
    </row>
    <row r="172" spans="1:106" ht="9.9499999999999993" customHeight="1" x14ac:dyDescent="0.25">
      <c r="A172" s="7"/>
      <c r="B172" s="7"/>
      <c r="C172" s="8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  <c r="CJ172" s="9"/>
      <c r="CK172" s="9"/>
      <c r="CL172" s="9"/>
      <c r="CM172" s="9"/>
      <c r="CN172" s="9"/>
      <c r="CO172" s="9"/>
      <c r="CP172" s="9"/>
      <c r="CQ172" s="9"/>
      <c r="CR172" s="9"/>
      <c r="CS172" s="9"/>
      <c r="CT172" s="9"/>
      <c r="CU172" s="9"/>
      <c r="CV172" s="9"/>
      <c r="CW172" s="9"/>
      <c r="CX172" s="9"/>
      <c r="CY172" s="9"/>
      <c r="CZ172" s="9"/>
      <c r="DA172" s="9"/>
      <c r="DB172" s="9"/>
    </row>
    <row r="173" spans="1:106" ht="9.9499999999999993" customHeight="1" x14ac:dyDescent="0.25">
      <c r="A173" s="7"/>
      <c r="B173" s="7"/>
      <c r="C173" s="8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9"/>
      <c r="CK173" s="9"/>
      <c r="CL173" s="9"/>
      <c r="CM173" s="9"/>
      <c r="CN173" s="9"/>
      <c r="CO173" s="9"/>
      <c r="CP173" s="9"/>
      <c r="CQ173" s="9"/>
      <c r="CR173" s="9"/>
      <c r="CS173" s="9"/>
      <c r="CT173" s="9"/>
      <c r="CU173" s="9"/>
      <c r="CV173" s="9"/>
      <c r="CW173" s="9"/>
      <c r="CX173" s="9"/>
      <c r="CY173" s="9"/>
      <c r="CZ173" s="9"/>
      <c r="DA173" s="9"/>
      <c r="DB173" s="9"/>
    </row>
    <row r="174" spans="1:106" ht="9.9499999999999993" customHeight="1" x14ac:dyDescent="0.25">
      <c r="A174" s="7"/>
      <c r="B174" s="7"/>
      <c r="C174" s="8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9"/>
      <c r="CK174" s="9"/>
      <c r="CL174" s="9"/>
      <c r="CM174" s="9"/>
      <c r="CN174" s="9"/>
      <c r="CO174" s="9"/>
      <c r="CP174" s="9"/>
      <c r="CQ174" s="9"/>
      <c r="CR174" s="9"/>
      <c r="CS174" s="9"/>
      <c r="CT174" s="9"/>
      <c r="CU174" s="9"/>
      <c r="CV174" s="9"/>
      <c r="CW174" s="9"/>
      <c r="CX174" s="9"/>
      <c r="CY174" s="9"/>
      <c r="CZ174" s="9"/>
      <c r="DA174" s="9"/>
      <c r="DB174" s="9"/>
    </row>
    <row r="175" spans="1:106" ht="9.9499999999999993" customHeight="1" x14ac:dyDescent="0.25">
      <c r="A175" s="7"/>
      <c r="B175" s="7"/>
      <c r="C175" s="8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  <c r="CL175" s="9"/>
      <c r="CM175" s="9"/>
      <c r="CN175" s="9"/>
      <c r="CO175" s="9"/>
      <c r="CP175" s="9"/>
      <c r="CQ175" s="9"/>
      <c r="CR175" s="9"/>
      <c r="CS175" s="9"/>
      <c r="CT175" s="9"/>
      <c r="CU175" s="9"/>
      <c r="CV175" s="9"/>
      <c r="CW175" s="9"/>
      <c r="CX175" s="9"/>
      <c r="CY175" s="9"/>
      <c r="CZ175" s="9"/>
      <c r="DA175" s="9"/>
      <c r="DB175" s="9"/>
    </row>
    <row r="176" spans="1:106" ht="9.9499999999999993" customHeight="1" x14ac:dyDescent="0.25">
      <c r="A176" s="7"/>
      <c r="B176" s="7"/>
      <c r="C176" s="8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  <c r="CJ176" s="9"/>
      <c r="CK176" s="9"/>
      <c r="CL176" s="9"/>
      <c r="CM176" s="9"/>
      <c r="CN176" s="9"/>
      <c r="CO176" s="9"/>
      <c r="CP176" s="9"/>
      <c r="CQ176" s="9"/>
      <c r="CR176" s="9"/>
      <c r="CS176" s="9"/>
      <c r="CT176" s="9"/>
      <c r="CU176" s="9"/>
      <c r="CV176" s="9"/>
      <c r="CW176" s="9"/>
      <c r="CX176" s="9"/>
      <c r="CY176" s="9"/>
      <c r="CZ176" s="9"/>
      <c r="DA176" s="9"/>
      <c r="DB176" s="9"/>
    </row>
    <row r="177" spans="1:106" ht="9.9499999999999993" customHeight="1" x14ac:dyDescent="0.25">
      <c r="A177" s="7"/>
      <c r="B177" s="7"/>
      <c r="C177" s="8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9"/>
      <c r="CE177" s="9"/>
      <c r="CF177" s="9"/>
      <c r="CG177" s="9"/>
      <c r="CH177" s="9"/>
      <c r="CI177" s="9"/>
      <c r="CJ177" s="9"/>
      <c r="CK177" s="9"/>
      <c r="CL177" s="9"/>
      <c r="CM177" s="9"/>
      <c r="CN177" s="9"/>
      <c r="CO177" s="9"/>
      <c r="CP177" s="9"/>
      <c r="CQ177" s="9"/>
      <c r="CR177" s="9"/>
      <c r="CS177" s="9"/>
      <c r="CT177" s="9"/>
      <c r="CU177" s="9"/>
      <c r="CV177" s="9"/>
      <c r="CW177" s="9"/>
      <c r="CX177" s="9"/>
      <c r="CY177" s="9"/>
      <c r="CZ177" s="9"/>
      <c r="DA177" s="9"/>
      <c r="DB177" s="9"/>
    </row>
    <row r="178" spans="1:106" ht="9.9499999999999993" customHeight="1" x14ac:dyDescent="0.25">
      <c r="A178" s="7"/>
      <c r="B178" s="7"/>
      <c r="C178" s="8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  <c r="CJ178" s="9"/>
      <c r="CK178" s="9"/>
      <c r="CL178" s="9"/>
      <c r="CM178" s="9"/>
      <c r="CN178" s="9"/>
      <c r="CO178" s="9"/>
      <c r="CP178" s="9"/>
      <c r="CQ178" s="9"/>
      <c r="CR178" s="9"/>
      <c r="CS178" s="9"/>
      <c r="CT178" s="9"/>
      <c r="CU178" s="9"/>
      <c r="CV178" s="9"/>
      <c r="CW178" s="9"/>
      <c r="CX178" s="9"/>
      <c r="CY178" s="9"/>
      <c r="CZ178" s="9"/>
      <c r="DA178" s="9"/>
      <c r="DB178" s="9"/>
    </row>
    <row r="179" spans="1:106" ht="9.9499999999999993" customHeight="1" x14ac:dyDescent="0.25">
      <c r="A179" s="7"/>
      <c r="B179" s="7"/>
      <c r="C179" s="8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  <c r="BZ179" s="9"/>
      <c r="CA179" s="9"/>
      <c r="CB179" s="9"/>
      <c r="CC179" s="9"/>
      <c r="CD179" s="9"/>
      <c r="CE179" s="9"/>
      <c r="CF179" s="9"/>
      <c r="CG179" s="9"/>
      <c r="CH179" s="9"/>
      <c r="CI179" s="9"/>
      <c r="CJ179" s="9"/>
      <c r="CK179" s="9"/>
      <c r="CL179" s="9"/>
      <c r="CM179" s="9"/>
      <c r="CN179" s="9"/>
      <c r="CO179" s="9"/>
      <c r="CP179" s="9"/>
      <c r="CQ179" s="9"/>
      <c r="CR179" s="9"/>
      <c r="CS179" s="9"/>
      <c r="CT179" s="9"/>
      <c r="CU179" s="9"/>
      <c r="CV179" s="9"/>
      <c r="CW179" s="9"/>
      <c r="CX179" s="9"/>
      <c r="CY179" s="9"/>
      <c r="CZ179" s="9"/>
      <c r="DA179" s="9"/>
      <c r="DB179" s="9"/>
    </row>
    <row r="180" spans="1:106" ht="9.9499999999999993" customHeight="1" x14ac:dyDescent="0.25">
      <c r="A180" s="7"/>
      <c r="B180" s="7"/>
      <c r="C180" s="8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  <c r="BZ180" s="9"/>
      <c r="CA180" s="9"/>
      <c r="CB180" s="9"/>
      <c r="CC180" s="9"/>
      <c r="CD180" s="9"/>
      <c r="CE180" s="9"/>
      <c r="CF180" s="9"/>
      <c r="CG180" s="9"/>
      <c r="CH180" s="9"/>
      <c r="CI180" s="9"/>
      <c r="CJ180" s="9"/>
      <c r="CK180" s="9"/>
      <c r="CL180" s="9"/>
      <c r="CM180" s="9"/>
      <c r="CN180" s="9"/>
      <c r="CO180" s="9"/>
      <c r="CP180" s="9"/>
      <c r="CQ180" s="9"/>
      <c r="CR180" s="9"/>
      <c r="CS180" s="9"/>
      <c r="CT180" s="9"/>
      <c r="CU180" s="9"/>
      <c r="CV180" s="9"/>
      <c r="CW180" s="9"/>
      <c r="CX180" s="9"/>
      <c r="CY180" s="9"/>
      <c r="CZ180" s="9"/>
      <c r="DA180" s="9"/>
      <c r="DB180" s="9"/>
    </row>
    <row r="181" spans="1:106" ht="9.9499999999999993" customHeight="1" x14ac:dyDescent="0.25">
      <c r="A181" s="7"/>
      <c r="B181" s="7"/>
      <c r="C181" s="8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  <c r="CJ181" s="9"/>
      <c r="CK181" s="9"/>
      <c r="CL181" s="9"/>
      <c r="CM181" s="9"/>
      <c r="CN181" s="9"/>
      <c r="CO181" s="9"/>
      <c r="CP181" s="9"/>
      <c r="CQ181" s="9"/>
      <c r="CR181" s="9"/>
      <c r="CS181" s="9"/>
      <c r="CT181" s="9"/>
      <c r="CU181" s="9"/>
      <c r="CV181" s="9"/>
      <c r="CW181" s="9"/>
      <c r="CX181" s="9"/>
      <c r="CY181" s="9"/>
      <c r="CZ181" s="9"/>
      <c r="DA181" s="9"/>
      <c r="DB181" s="9"/>
    </row>
    <row r="182" spans="1:106" ht="9.9499999999999993" customHeight="1" x14ac:dyDescent="0.25">
      <c r="A182" s="7"/>
      <c r="B182" s="7"/>
      <c r="C182" s="8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L182" s="9"/>
      <c r="CM182" s="9"/>
      <c r="CN182" s="9"/>
      <c r="CO182" s="9"/>
      <c r="CP182" s="9"/>
      <c r="CQ182" s="9"/>
      <c r="CR182" s="9"/>
      <c r="CS182" s="9"/>
      <c r="CT182" s="9"/>
      <c r="CU182" s="9"/>
      <c r="CV182" s="9"/>
      <c r="CW182" s="9"/>
      <c r="CX182" s="9"/>
      <c r="CY182" s="9"/>
      <c r="CZ182" s="9"/>
      <c r="DA182" s="9"/>
      <c r="DB182" s="9"/>
    </row>
    <row r="183" spans="1:106" ht="9.9499999999999993" customHeight="1" x14ac:dyDescent="0.25">
      <c r="A183" s="7"/>
      <c r="B183" s="7"/>
      <c r="C183" s="8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</row>
    <row r="184" spans="1:106" ht="9.9499999999999993" customHeight="1" x14ac:dyDescent="0.25">
      <c r="A184" s="7"/>
      <c r="B184" s="7"/>
      <c r="C184" s="8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9"/>
      <c r="CK184" s="9"/>
      <c r="CL184" s="9"/>
      <c r="CM184" s="9"/>
      <c r="CN184" s="9"/>
      <c r="CO184" s="9"/>
      <c r="CP184" s="9"/>
      <c r="CQ184" s="9"/>
      <c r="CR184" s="9"/>
      <c r="CS184" s="9"/>
      <c r="CT184" s="9"/>
      <c r="CU184" s="9"/>
      <c r="CV184" s="9"/>
      <c r="CW184" s="9"/>
      <c r="CX184" s="9"/>
      <c r="CY184" s="9"/>
      <c r="CZ184" s="9"/>
      <c r="DA184" s="9"/>
      <c r="DB184" s="9"/>
    </row>
    <row r="185" spans="1:106" ht="9.9499999999999993" customHeight="1" x14ac:dyDescent="0.25">
      <c r="A185" s="7"/>
      <c r="B185" s="7"/>
      <c r="C185" s="8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9"/>
      <c r="CK185" s="9"/>
      <c r="CL185" s="9"/>
      <c r="CM185" s="9"/>
      <c r="CN185" s="9"/>
      <c r="CO185" s="9"/>
      <c r="CP185" s="9"/>
      <c r="CQ185" s="9"/>
      <c r="CR185" s="9"/>
      <c r="CS185" s="9"/>
      <c r="CT185" s="9"/>
      <c r="CU185" s="9"/>
      <c r="CV185" s="9"/>
      <c r="CW185" s="9"/>
      <c r="CX185" s="9"/>
      <c r="CY185" s="9"/>
      <c r="CZ185" s="9"/>
      <c r="DA185" s="9"/>
      <c r="DB185" s="9"/>
    </row>
    <row r="186" spans="1:106" ht="9.9499999999999993" customHeight="1" x14ac:dyDescent="0.25">
      <c r="A186" s="7"/>
      <c r="B186" s="7"/>
      <c r="C186" s="8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9"/>
      <c r="CZ186" s="9"/>
      <c r="DA186" s="9"/>
      <c r="DB186" s="9"/>
    </row>
    <row r="187" spans="1:106" ht="9.9499999999999993" customHeight="1" x14ac:dyDescent="0.25">
      <c r="A187" s="7"/>
      <c r="B187" s="7"/>
      <c r="C187" s="8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L187" s="9"/>
      <c r="CM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  <c r="DA187" s="9"/>
      <c r="DB187" s="9"/>
    </row>
    <row r="188" spans="1:106" ht="9.9499999999999993" customHeight="1" x14ac:dyDescent="0.25">
      <c r="A188" s="7"/>
      <c r="B188" s="7"/>
      <c r="C188" s="8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9"/>
      <c r="CK188" s="9"/>
      <c r="CL188" s="9"/>
      <c r="CM188" s="9"/>
      <c r="CN188" s="9"/>
      <c r="CO188" s="9"/>
      <c r="CP188" s="9"/>
      <c r="CQ188" s="9"/>
      <c r="CR188" s="9"/>
      <c r="CS188" s="9"/>
      <c r="CT188" s="9"/>
      <c r="CU188" s="9"/>
      <c r="CV188" s="9"/>
      <c r="CW188" s="9"/>
      <c r="CX188" s="9"/>
      <c r="CY188" s="9"/>
      <c r="CZ188" s="9"/>
      <c r="DA188" s="9"/>
      <c r="DB188" s="9"/>
    </row>
    <row r="189" spans="1:106" ht="9.9499999999999993" customHeight="1" x14ac:dyDescent="0.25">
      <c r="A189" s="7"/>
      <c r="B189" s="7"/>
      <c r="C189" s="8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9"/>
      <c r="CM189" s="9"/>
      <c r="CN189" s="9"/>
      <c r="CO189" s="9"/>
      <c r="CP189" s="9"/>
      <c r="CQ189" s="9"/>
      <c r="CR189" s="9"/>
      <c r="CS189" s="9"/>
      <c r="CT189" s="9"/>
      <c r="CU189" s="9"/>
      <c r="CV189" s="9"/>
      <c r="CW189" s="9"/>
      <c r="CX189" s="9"/>
      <c r="CY189" s="9"/>
      <c r="CZ189" s="9"/>
      <c r="DA189" s="9"/>
      <c r="DB189" s="9"/>
    </row>
    <row r="190" spans="1:106" ht="9.9499999999999993" customHeight="1" x14ac:dyDescent="0.25">
      <c r="A190" s="7"/>
      <c r="B190" s="7"/>
      <c r="C190" s="8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9"/>
      <c r="CM190" s="9"/>
      <c r="CN190" s="9"/>
      <c r="CO190" s="9"/>
      <c r="CP190" s="9"/>
      <c r="CQ190" s="9"/>
      <c r="CR190" s="9"/>
      <c r="CS190" s="9"/>
      <c r="CT190" s="9"/>
      <c r="CU190" s="9"/>
      <c r="CV190" s="9"/>
      <c r="CW190" s="9"/>
      <c r="CX190" s="9"/>
      <c r="CY190" s="9"/>
      <c r="CZ190" s="9"/>
      <c r="DA190" s="9"/>
      <c r="DB190" s="9"/>
    </row>
    <row r="191" spans="1:106" ht="9.9499999999999993" customHeight="1" x14ac:dyDescent="0.25">
      <c r="A191" s="7"/>
      <c r="B191" s="7"/>
      <c r="C191" s="8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9"/>
      <c r="CK191" s="9"/>
      <c r="CL191" s="9"/>
      <c r="CM191" s="9"/>
      <c r="CN191" s="9"/>
      <c r="CO191" s="9"/>
      <c r="CP191" s="9"/>
      <c r="CQ191" s="9"/>
      <c r="CR191" s="9"/>
      <c r="CS191" s="9"/>
      <c r="CT191" s="9"/>
      <c r="CU191" s="9"/>
      <c r="CV191" s="9"/>
      <c r="CW191" s="9"/>
      <c r="CX191" s="9"/>
      <c r="CY191" s="9"/>
      <c r="CZ191" s="9"/>
      <c r="DA191" s="9"/>
      <c r="DB191" s="9"/>
    </row>
    <row r="192" spans="1:106" ht="9.9499999999999993" customHeight="1" x14ac:dyDescent="0.25">
      <c r="A192" s="7"/>
      <c r="B192" s="7"/>
      <c r="C192" s="8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  <c r="CJ192" s="9"/>
      <c r="CK192" s="9"/>
      <c r="CL192" s="9"/>
      <c r="CM192" s="9"/>
      <c r="CN192" s="9"/>
      <c r="CO192" s="9"/>
      <c r="CP192" s="9"/>
      <c r="CQ192" s="9"/>
      <c r="CR192" s="9"/>
      <c r="CS192" s="9"/>
      <c r="CT192" s="9"/>
      <c r="CU192" s="9"/>
      <c r="CV192" s="9"/>
      <c r="CW192" s="9"/>
      <c r="CX192" s="9"/>
      <c r="CY192" s="9"/>
      <c r="CZ192" s="9"/>
      <c r="DA192" s="9"/>
      <c r="DB192" s="9"/>
    </row>
    <row r="193" spans="1:106" ht="9.9499999999999993" customHeight="1" x14ac:dyDescent="0.25">
      <c r="A193" s="7"/>
      <c r="B193" s="7"/>
      <c r="C193" s="8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9"/>
      <c r="CE193" s="9"/>
      <c r="CF193" s="9"/>
      <c r="CG193" s="9"/>
      <c r="CH193" s="9"/>
      <c r="CI193" s="9"/>
      <c r="CJ193" s="9"/>
      <c r="CK193" s="9"/>
      <c r="CL193" s="9"/>
      <c r="CM193" s="9"/>
      <c r="CN193" s="9"/>
      <c r="CO193" s="9"/>
      <c r="CP193" s="9"/>
      <c r="CQ193" s="9"/>
      <c r="CR193" s="9"/>
      <c r="CS193" s="9"/>
      <c r="CT193" s="9"/>
      <c r="CU193" s="9"/>
      <c r="CV193" s="9"/>
      <c r="CW193" s="9"/>
      <c r="CX193" s="9"/>
      <c r="CY193" s="9"/>
      <c r="CZ193" s="9"/>
      <c r="DA193" s="9"/>
      <c r="DB193" s="9"/>
    </row>
    <row r="194" spans="1:106" ht="9.9499999999999993" customHeight="1" x14ac:dyDescent="0.25">
      <c r="A194" s="7"/>
      <c r="B194" s="7"/>
      <c r="C194" s="8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9"/>
      <c r="CK194" s="9"/>
      <c r="CL194" s="9"/>
      <c r="CM194" s="9"/>
      <c r="CN194" s="9"/>
      <c r="CO194" s="9"/>
      <c r="CP194" s="9"/>
      <c r="CQ194" s="9"/>
      <c r="CR194" s="9"/>
      <c r="CS194" s="9"/>
      <c r="CT194" s="9"/>
      <c r="CU194" s="9"/>
      <c r="CV194" s="9"/>
      <c r="CW194" s="9"/>
      <c r="CX194" s="9"/>
      <c r="CY194" s="9"/>
      <c r="CZ194" s="9"/>
      <c r="DA194" s="9"/>
      <c r="DB194" s="9"/>
    </row>
    <row r="195" spans="1:106" ht="9.9499999999999993" customHeight="1" x14ac:dyDescent="0.25">
      <c r="A195" s="7"/>
      <c r="B195" s="7"/>
      <c r="C195" s="8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  <c r="CJ195" s="9"/>
      <c r="CK195" s="9"/>
      <c r="CL195" s="9"/>
      <c r="CM195" s="9"/>
      <c r="CN195" s="9"/>
      <c r="CO195" s="9"/>
      <c r="CP195" s="9"/>
      <c r="CQ195" s="9"/>
      <c r="CR195" s="9"/>
      <c r="CS195" s="9"/>
      <c r="CT195" s="9"/>
      <c r="CU195" s="9"/>
      <c r="CV195" s="9"/>
      <c r="CW195" s="9"/>
      <c r="CX195" s="9"/>
      <c r="CY195" s="9"/>
      <c r="CZ195" s="9"/>
      <c r="DA195" s="9"/>
      <c r="DB195" s="9"/>
    </row>
    <row r="196" spans="1:106" ht="9.9499999999999993" customHeight="1" x14ac:dyDescent="0.25">
      <c r="A196" s="7"/>
      <c r="B196" s="7"/>
      <c r="C196" s="8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9"/>
      <c r="CK196" s="9"/>
      <c r="CL196" s="9"/>
      <c r="CM196" s="9"/>
      <c r="CN196" s="9"/>
      <c r="CO196" s="9"/>
      <c r="CP196" s="9"/>
      <c r="CQ196" s="9"/>
      <c r="CR196" s="9"/>
      <c r="CS196" s="9"/>
      <c r="CT196" s="9"/>
      <c r="CU196" s="9"/>
      <c r="CV196" s="9"/>
      <c r="CW196" s="9"/>
      <c r="CX196" s="9"/>
      <c r="CY196" s="9"/>
      <c r="CZ196" s="9"/>
      <c r="DA196" s="9"/>
      <c r="DB196" s="9"/>
    </row>
    <row r="197" spans="1:106" ht="9.9499999999999993" customHeight="1" x14ac:dyDescent="0.25">
      <c r="A197" s="7"/>
      <c r="B197" s="7"/>
      <c r="C197" s="8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  <c r="CJ197" s="9"/>
      <c r="CK197" s="9"/>
      <c r="CL197" s="9"/>
      <c r="CM197" s="9"/>
      <c r="CN197" s="9"/>
      <c r="CO197" s="9"/>
      <c r="CP197" s="9"/>
      <c r="CQ197" s="9"/>
      <c r="CR197" s="9"/>
      <c r="CS197" s="9"/>
      <c r="CT197" s="9"/>
      <c r="CU197" s="9"/>
      <c r="CV197" s="9"/>
      <c r="CW197" s="9"/>
      <c r="CX197" s="9"/>
      <c r="CY197" s="9"/>
      <c r="CZ197" s="9"/>
      <c r="DA197" s="9"/>
      <c r="DB197" s="9"/>
    </row>
    <row r="198" spans="1:106" ht="9.9499999999999993" customHeight="1" x14ac:dyDescent="0.25">
      <c r="A198" s="7"/>
      <c r="B198" s="7"/>
      <c r="C198" s="8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  <c r="CL198" s="9"/>
      <c r="CM198" s="9"/>
      <c r="CN198" s="9"/>
      <c r="CO198" s="9"/>
      <c r="CP198" s="9"/>
      <c r="CQ198" s="9"/>
      <c r="CR198" s="9"/>
      <c r="CS198" s="9"/>
      <c r="CT198" s="9"/>
      <c r="CU198" s="9"/>
      <c r="CV198" s="9"/>
      <c r="CW198" s="9"/>
      <c r="CX198" s="9"/>
      <c r="CY198" s="9"/>
      <c r="CZ198" s="9"/>
      <c r="DA198" s="9"/>
      <c r="DB198" s="9"/>
    </row>
    <row r="199" spans="1:106" ht="9.9499999999999993" customHeight="1" x14ac:dyDescent="0.25">
      <c r="A199" s="7"/>
      <c r="B199" s="7"/>
      <c r="C199" s="8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  <c r="CJ199" s="9"/>
      <c r="CK199" s="9"/>
      <c r="CL199" s="9"/>
      <c r="CM199" s="9"/>
      <c r="CN199" s="9"/>
      <c r="CO199" s="9"/>
      <c r="CP199" s="9"/>
      <c r="CQ199" s="9"/>
      <c r="CR199" s="9"/>
      <c r="CS199" s="9"/>
      <c r="CT199" s="9"/>
      <c r="CU199" s="9"/>
      <c r="CV199" s="9"/>
      <c r="CW199" s="9"/>
      <c r="CX199" s="9"/>
      <c r="CY199" s="9"/>
      <c r="CZ199" s="9"/>
      <c r="DA199" s="9"/>
      <c r="DB199" s="9"/>
    </row>
    <row r="200" spans="1:106" ht="9.9499999999999993" customHeight="1" x14ac:dyDescent="0.25">
      <c r="A200" s="7"/>
      <c r="B200" s="7"/>
      <c r="C200" s="8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9"/>
      <c r="CK200" s="9"/>
      <c r="CL200" s="9"/>
      <c r="CM200" s="9"/>
      <c r="CN200" s="9"/>
      <c r="CO200" s="9"/>
      <c r="CP200" s="9"/>
      <c r="CQ200" s="9"/>
      <c r="CR200" s="9"/>
      <c r="CS200" s="9"/>
      <c r="CT200" s="9"/>
      <c r="CU200" s="9"/>
      <c r="CV200" s="9"/>
      <c r="CW200" s="9"/>
      <c r="CX200" s="9"/>
      <c r="CY200" s="9"/>
      <c r="CZ200" s="9"/>
      <c r="DA200" s="9"/>
      <c r="DB200" s="9"/>
    </row>
    <row r="201" spans="1:106" ht="9.9499999999999993" customHeight="1" x14ac:dyDescent="0.25">
      <c r="A201" s="7"/>
      <c r="B201" s="7"/>
      <c r="C201" s="8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  <c r="BZ201" s="9"/>
      <c r="CA201" s="9"/>
      <c r="CB201" s="9"/>
      <c r="CC201" s="9"/>
      <c r="CD201" s="9"/>
      <c r="CE201" s="9"/>
      <c r="CF201" s="9"/>
      <c r="CG201" s="9"/>
      <c r="CH201" s="9"/>
      <c r="CI201" s="9"/>
      <c r="CJ201" s="9"/>
      <c r="CK201" s="9"/>
      <c r="CL201" s="9"/>
      <c r="CM201" s="9"/>
      <c r="CN201" s="9"/>
      <c r="CO201" s="9"/>
      <c r="CP201" s="9"/>
      <c r="CQ201" s="9"/>
      <c r="CR201" s="9"/>
      <c r="CS201" s="9"/>
      <c r="CT201" s="9"/>
      <c r="CU201" s="9"/>
      <c r="CV201" s="9"/>
      <c r="CW201" s="9"/>
      <c r="CX201" s="9"/>
      <c r="CY201" s="9"/>
      <c r="CZ201" s="9"/>
      <c r="DA201" s="9"/>
      <c r="DB201" s="9"/>
    </row>
    <row r="202" spans="1:106" ht="9.9499999999999993" customHeight="1" x14ac:dyDescent="0.25">
      <c r="A202" s="7"/>
      <c r="B202" s="7"/>
      <c r="C202" s="8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  <c r="BZ202" s="9"/>
      <c r="CA202" s="9"/>
      <c r="CB202" s="9"/>
      <c r="CC202" s="9"/>
      <c r="CD202" s="9"/>
      <c r="CE202" s="9"/>
      <c r="CF202" s="9"/>
      <c r="CG202" s="9"/>
      <c r="CH202" s="9"/>
      <c r="CI202" s="9"/>
      <c r="CJ202" s="9"/>
      <c r="CK202" s="9"/>
      <c r="CL202" s="9"/>
      <c r="CM202" s="9"/>
      <c r="CN202" s="9"/>
      <c r="CO202" s="9"/>
      <c r="CP202" s="9"/>
      <c r="CQ202" s="9"/>
      <c r="CR202" s="9"/>
      <c r="CS202" s="9"/>
      <c r="CT202" s="9"/>
      <c r="CU202" s="9"/>
      <c r="CV202" s="9"/>
      <c r="CW202" s="9"/>
      <c r="CX202" s="9"/>
      <c r="CY202" s="9"/>
      <c r="CZ202" s="9"/>
      <c r="DA202" s="9"/>
      <c r="DB202" s="9"/>
    </row>
    <row r="203" spans="1:106" ht="9.9499999999999993" customHeight="1" x14ac:dyDescent="0.25">
      <c r="A203" s="7"/>
      <c r="B203" s="7"/>
      <c r="C203" s="8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9"/>
      <c r="BU203" s="9"/>
      <c r="BV203" s="9"/>
      <c r="BW203" s="9"/>
      <c r="BX203" s="9"/>
      <c r="BY203" s="9"/>
      <c r="BZ203" s="9"/>
      <c r="CA203" s="9"/>
      <c r="CB203" s="9"/>
      <c r="CC203" s="9"/>
      <c r="CD203" s="9"/>
      <c r="CE203" s="9"/>
      <c r="CF203" s="9"/>
      <c r="CG203" s="9"/>
      <c r="CH203" s="9"/>
      <c r="CI203" s="9"/>
      <c r="CJ203" s="9"/>
      <c r="CK203" s="9"/>
      <c r="CL203" s="9"/>
      <c r="CM203" s="9"/>
      <c r="CN203" s="9"/>
      <c r="CO203" s="9"/>
      <c r="CP203" s="9"/>
      <c r="CQ203" s="9"/>
      <c r="CR203" s="9"/>
      <c r="CS203" s="9"/>
      <c r="CT203" s="9"/>
      <c r="CU203" s="9"/>
      <c r="CV203" s="9"/>
      <c r="CW203" s="9"/>
      <c r="CX203" s="9"/>
      <c r="CY203" s="9"/>
      <c r="CZ203" s="9"/>
      <c r="DA203" s="9"/>
      <c r="DB203" s="9"/>
    </row>
    <row r="204" spans="1:106" ht="9.9499999999999993" customHeight="1" x14ac:dyDescent="0.25">
      <c r="A204" s="7"/>
      <c r="B204" s="7"/>
      <c r="C204" s="8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  <c r="BZ204" s="9"/>
      <c r="CA204" s="9"/>
      <c r="CB204" s="9"/>
      <c r="CC204" s="9"/>
      <c r="CD204" s="9"/>
      <c r="CE204" s="9"/>
      <c r="CF204" s="9"/>
      <c r="CG204" s="9"/>
      <c r="CH204" s="9"/>
      <c r="CI204" s="9"/>
      <c r="CJ204" s="9"/>
      <c r="CK204" s="9"/>
      <c r="CL204" s="9"/>
      <c r="CM204" s="9"/>
      <c r="CN204" s="9"/>
      <c r="CO204" s="9"/>
      <c r="CP204" s="9"/>
      <c r="CQ204" s="9"/>
      <c r="CR204" s="9"/>
      <c r="CS204" s="9"/>
      <c r="CT204" s="9"/>
      <c r="CU204" s="9"/>
      <c r="CV204" s="9"/>
      <c r="CW204" s="9"/>
      <c r="CX204" s="9"/>
      <c r="CY204" s="9"/>
      <c r="CZ204" s="9"/>
      <c r="DA204" s="9"/>
      <c r="DB204" s="9"/>
    </row>
    <row r="205" spans="1:106" ht="9.9499999999999993" customHeight="1" x14ac:dyDescent="0.25">
      <c r="A205" s="7"/>
      <c r="B205" s="7"/>
      <c r="C205" s="8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  <c r="BP205" s="9"/>
      <c r="BQ205" s="9"/>
      <c r="BR205" s="9"/>
      <c r="BS205" s="9"/>
      <c r="BT205" s="9"/>
      <c r="BU205" s="9"/>
      <c r="BV205" s="9"/>
      <c r="BW205" s="9"/>
      <c r="BX205" s="9"/>
      <c r="BY205" s="9"/>
      <c r="BZ205" s="9"/>
      <c r="CA205" s="9"/>
      <c r="CB205" s="9"/>
      <c r="CC205" s="9"/>
      <c r="CD205" s="9"/>
      <c r="CE205" s="9"/>
      <c r="CF205" s="9"/>
      <c r="CG205" s="9"/>
      <c r="CH205" s="9"/>
      <c r="CI205" s="9"/>
      <c r="CJ205" s="9"/>
      <c r="CK205" s="9"/>
      <c r="CL205" s="9"/>
      <c r="CM205" s="9"/>
      <c r="CN205" s="9"/>
      <c r="CO205" s="9"/>
      <c r="CP205" s="9"/>
      <c r="CQ205" s="9"/>
      <c r="CR205" s="9"/>
      <c r="CS205" s="9"/>
      <c r="CT205" s="9"/>
      <c r="CU205" s="9"/>
      <c r="CV205" s="9"/>
      <c r="CW205" s="9"/>
      <c r="CX205" s="9"/>
      <c r="CY205" s="9"/>
      <c r="CZ205" s="9"/>
      <c r="DA205" s="9"/>
      <c r="DB205" s="9"/>
    </row>
    <row r="206" spans="1:106" ht="9.9499999999999993" customHeight="1" x14ac:dyDescent="0.25">
      <c r="A206" s="7"/>
      <c r="B206" s="7"/>
      <c r="C206" s="8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  <c r="BZ206" s="9"/>
      <c r="CA206" s="9"/>
      <c r="CB206" s="9"/>
      <c r="CC206" s="9"/>
      <c r="CD206" s="9"/>
      <c r="CE206" s="9"/>
      <c r="CF206" s="9"/>
      <c r="CG206" s="9"/>
      <c r="CH206" s="9"/>
      <c r="CI206" s="9"/>
      <c r="CJ206" s="9"/>
      <c r="CK206" s="9"/>
      <c r="CL206" s="9"/>
      <c r="CM206" s="9"/>
      <c r="CN206" s="9"/>
      <c r="CO206" s="9"/>
      <c r="CP206" s="9"/>
      <c r="CQ206" s="9"/>
      <c r="CR206" s="9"/>
      <c r="CS206" s="9"/>
      <c r="CT206" s="9"/>
      <c r="CU206" s="9"/>
      <c r="CV206" s="9"/>
      <c r="CW206" s="9"/>
      <c r="CX206" s="9"/>
      <c r="CY206" s="9"/>
      <c r="CZ206" s="9"/>
      <c r="DA206" s="9"/>
      <c r="DB206" s="9"/>
    </row>
    <row r="207" spans="1:106" ht="9.9499999999999993" customHeight="1" x14ac:dyDescent="0.25">
      <c r="A207" s="7"/>
      <c r="B207" s="7"/>
      <c r="C207" s="8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9"/>
      <c r="CE207" s="9"/>
      <c r="CF207" s="9"/>
      <c r="CG207" s="9"/>
      <c r="CH207" s="9"/>
      <c r="CI207" s="9"/>
      <c r="CJ207" s="9"/>
      <c r="CK207" s="9"/>
      <c r="CL207" s="9"/>
      <c r="CM207" s="9"/>
      <c r="CN207" s="9"/>
      <c r="CO207" s="9"/>
      <c r="CP207" s="9"/>
      <c r="CQ207" s="9"/>
      <c r="CR207" s="9"/>
      <c r="CS207" s="9"/>
      <c r="CT207" s="9"/>
      <c r="CU207" s="9"/>
      <c r="CV207" s="9"/>
      <c r="CW207" s="9"/>
      <c r="CX207" s="9"/>
      <c r="CY207" s="9"/>
      <c r="CZ207" s="9"/>
      <c r="DA207" s="9"/>
      <c r="DB207" s="9"/>
    </row>
    <row r="208" spans="1:106" ht="9.9499999999999993" customHeight="1" x14ac:dyDescent="0.25">
      <c r="A208" s="7"/>
      <c r="B208" s="7"/>
      <c r="C208" s="8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  <c r="BP208" s="9"/>
      <c r="BQ208" s="9"/>
      <c r="BR208" s="9"/>
      <c r="BS208" s="9"/>
      <c r="BT208" s="9"/>
      <c r="BU208" s="9"/>
      <c r="BV208" s="9"/>
      <c r="BW208" s="9"/>
      <c r="BX208" s="9"/>
      <c r="BY208" s="9"/>
      <c r="BZ208" s="9"/>
      <c r="CA208" s="9"/>
      <c r="CB208" s="9"/>
      <c r="CC208" s="9"/>
      <c r="CD208" s="9"/>
      <c r="CE208" s="9"/>
      <c r="CF208" s="9"/>
      <c r="CG208" s="9"/>
      <c r="CH208" s="9"/>
      <c r="CI208" s="9"/>
      <c r="CJ208" s="9"/>
      <c r="CK208" s="9"/>
      <c r="CL208" s="9"/>
      <c r="CM208" s="9"/>
      <c r="CN208" s="9"/>
      <c r="CO208" s="9"/>
      <c r="CP208" s="9"/>
      <c r="CQ208" s="9"/>
      <c r="CR208" s="9"/>
      <c r="CS208" s="9"/>
      <c r="CT208" s="9"/>
      <c r="CU208" s="9"/>
      <c r="CV208" s="9"/>
      <c r="CW208" s="9"/>
      <c r="CX208" s="9"/>
      <c r="CY208" s="9"/>
      <c r="CZ208" s="9"/>
      <c r="DA208" s="9"/>
      <c r="DB208" s="9"/>
    </row>
    <row r="209" spans="1:106" ht="9.9499999999999993" customHeight="1" x14ac:dyDescent="0.25">
      <c r="A209" s="7"/>
      <c r="B209" s="7"/>
      <c r="C209" s="8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L209" s="9"/>
      <c r="CM209" s="9"/>
      <c r="CN209" s="9"/>
      <c r="CO209" s="9"/>
      <c r="CP209" s="9"/>
      <c r="CQ209" s="9"/>
      <c r="CR209" s="9"/>
      <c r="CS209" s="9"/>
      <c r="CT209" s="9"/>
      <c r="CU209" s="9"/>
      <c r="CV209" s="9"/>
      <c r="CW209" s="9"/>
      <c r="CX209" s="9"/>
      <c r="CY209" s="9"/>
      <c r="CZ209" s="9"/>
      <c r="DA209" s="9"/>
      <c r="DB209" s="9"/>
    </row>
    <row r="210" spans="1:106" ht="9.9499999999999993" customHeight="1" x14ac:dyDescent="0.25">
      <c r="A210" s="7"/>
      <c r="B210" s="7"/>
      <c r="C210" s="8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L210" s="9"/>
      <c r="CM210" s="9"/>
      <c r="CN210" s="9"/>
      <c r="CO210" s="9"/>
      <c r="CP210" s="9"/>
      <c r="CQ210" s="9"/>
      <c r="CR210" s="9"/>
      <c r="CS210" s="9"/>
      <c r="CT210" s="9"/>
      <c r="CU210" s="9"/>
      <c r="CV210" s="9"/>
      <c r="CW210" s="9"/>
      <c r="CX210" s="9"/>
      <c r="CY210" s="9"/>
      <c r="CZ210" s="9"/>
      <c r="DA210" s="9"/>
      <c r="DB210" s="9"/>
    </row>
    <row r="211" spans="1:106" ht="9.9499999999999993" customHeight="1" x14ac:dyDescent="0.25">
      <c r="A211" s="7"/>
      <c r="B211" s="7"/>
      <c r="C211" s="8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9"/>
      <c r="CK211" s="9"/>
      <c r="CL211" s="9"/>
      <c r="CM211" s="9"/>
      <c r="CN211" s="9"/>
      <c r="CO211" s="9"/>
      <c r="CP211" s="9"/>
      <c r="CQ211" s="9"/>
      <c r="CR211" s="9"/>
      <c r="CS211" s="9"/>
      <c r="CT211" s="9"/>
      <c r="CU211" s="9"/>
      <c r="CV211" s="9"/>
      <c r="CW211" s="9"/>
      <c r="CX211" s="9"/>
      <c r="CY211" s="9"/>
      <c r="CZ211" s="9"/>
      <c r="DA211" s="9"/>
      <c r="DB211" s="9"/>
    </row>
    <row r="212" spans="1:106" ht="9.9499999999999993" customHeight="1" x14ac:dyDescent="0.25">
      <c r="A212" s="7"/>
      <c r="B212" s="7"/>
      <c r="C212" s="8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  <c r="CI212" s="9"/>
      <c r="CJ212" s="9"/>
      <c r="CK212" s="9"/>
      <c r="CL212" s="9"/>
      <c r="CM212" s="9"/>
      <c r="CN212" s="9"/>
      <c r="CO212" s="9"/>
      <c r="CP212" s="9"/>
      <c r="CQ212" s="9"/>
      <c r="CR212" s="9"/>
      <c r="CS212" s="9"/>
      <c r="CT212" s="9"/>
      <c r="CU212" s="9"/>
      <c r="CV212" s="9"/>
      <c r="CW212" s="9"/>
      <c r="CX212" s="9"/>
      <c r="CY212" s="9"/>
      <c r="CZ212" s="9"/>
      <c r="DA212" s="9"/>
      <c r="DB212" s="9"/>
    </row>
    <row r="213" spans="1:106" ht="9.9499999999999993" customHeight="1" x14ac:dyDescent="0.25">
      <c r="A213" s="7"/>
      <c r="B213" s="7"/>
      <c r="C213" s="8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/>
      <c r="BO213" s="9"/>
      <c r="BP213" s="9"/>
      <c r="BQ213" s="9"/>
      <c r="BR213" s="9"/>
      <c r="BS213" s="9"/>
      <c r="BT213" s="9"/>
      <c r="BU213" s="9"/>
      <c r="BV213" s="9"/>
      <c r="BW213" s="9"/>
      <c r="BX213" s="9"/>
      <c r="BY213" s="9"/>
      <c r="BZ213" s="9"/>
      <c r="CA213" s="9"/>
      <c r="CB213" s="9"/>
      <c r="CC213" s="9"/>
      <c r="CD213" s="9"/>
      <c r="CE213" s="9"/>
      <c r="CF213" s="9"/>
      <c r="CG213" s="9"/>
      <c r="CH213" s="9"/>
      <c r="CI213" s="9"/>
      <c r="CJ213" s="9"/>
      <c r="CK213" s="9"/>
      <c r="CL213" s="9"/>
      <c r="CM213" s="9"/>
      <c r="CN213" s="9"/>
      <c r="CO213" s="9"/>
      <c r="CP213" s="9"/>
      <c r="CQ213" s="9"/>
      <c r="CR213" s="9"/>
      <c r="CS213" s="9"/>
      <c r="CT213" s="9"/>
      <c r="CU213" s="9"/>
      <c r="CV213" s="9"/>
      <c r="CW213" s="9"/>
      <c r="CX213" s="9"/>
      <c r="CY213" s="9"/>
      <c r="CZ213" s="9"/>
      <c r="DA213" s="9"/>
      <c r="DB213" s="9"/>
    </row>
    <row r="214" spans="1:106" ht="9.9499999999999993" customHeight="1" x14ac:dyDescent="0.25">
      <c r="A214" s="7"/>
      <c r="B214" s="7"/>
      <c r="C214" s="8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9"/>
      <c r="BC214" s="9"/>
      <c r="BD214" s="9"/>
      <c r="BE214" s="9"/>
      <c r="BF214" s="9"/>
      <c r="BG214" s="9"/>
      <c r="BH214" s="9"/>
      <c r="BI214" s="9"/>
      <c r="BJ214" s="9"/>
      <c r="BK214" s="9"/>
      <c r="BL214" s="9"/>
      <c r="BM214" s="9"/>
      <c r="BN214" s="9"/>
      <c r="BO214" s="9"/>
      <c r="BP214" s="9"/>
      <c r="BQ214" s="9"/>
      <c r="BR214" s="9"/>
      <c r="BS214" s="9"/>
      <c r="BT214" s="9"/>
      <c r="BU214" s="9"/>
      <c r="BV214" s="9"/>
      <c r="BW214" s="9"/>
      <c r="BX214" s="9"/>
      <c r="BY214" s="9"/>
      <c r="BZ214" s="9"/>
      <c r="CA214" s="9"/>
      <c r="CB214" s="9"/>
      <c r="CC214" s="9"/>
      <c r="CD214" s="9"/>
      <c r="CE214" s="9"/>
      <c r="CF214" s="9"/>
      <c r="CG214" s="9"/>
      <c r="CH214" s="9"/>
      <c r="CI214" s="9"/>
      <c r="CJ214" s="9"/>
      <c r="CK214" s="9"/>
      <c r="CL214" s="9"/>
      <c r="CM214" s="9"/>
      <c r="CN214" s="9"/>
      <c r="CO214" s="9"/>
      <c r="CP214" s="9"/>
      <c r="CQ214" s="9"/>
      <c r="CR214" s="9"/>
      <c r="CS214" s="9"/>
      <c r="CT214" s="9"/>
      <c r="CU214" s="9"/>
      <c r="CV214" s="9"/>
      <c r="CW214" s="9"/>
      <c r="CX214" s="9"/>
      <c r="CY214" s="9"/>
      <c r="CZ214" s="9"/>
      <c r="DA214" s="9"/>
      <c r="DB214" s="9"/>
    </row>
    <row r="215" spans="1:106" ht="9.9499999999999993" customHeight="1" x14ac:dyDescent="0.25">
      <c r="A215" s="7"/>
      <c r="B215" s="7"/>
      <c r="C215" s="8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/>
      <c r="BO215" s="9"/>
      <c r="BP215" s="9"/>
      <c r="BQ215" s="9"/>
      <c r="BR215" s="9"/>
      <c r="BS215" s="9"/>
      <c r="BT215" s="9"/>
      <c r="BU215" s="9"/>
      <c r="BV215" s="9"/>
      <c r="BW215" s="9"/>
      <c r="BX215" s="9"/>
      <c r="BY215" s="9"/>
      <c r="BZ215" s="9"/>
      <c r="CA215" s="9"/>
      <c r="CB215" s="9"/>
      <c r="CC215" s="9"/>
      <c r="CD215" s="9"/>
      <c r="CE215" s="9"/>
      <c r="CF215" s="9"/>
      <c r="CG215" s="9"/>
      <c r="CH215" s="9"/>
      <c r="CI215" s="9"/>
      <c r="CJ215" s="9"/>
      <c r="CK215" s="9"/>
      <c r="CL215" s="9"/>
      <c r="CM215" s="9"/>
      <c r="CN215" s="9"/>
      <c r="CO215" s="9"/>
      <c r="CP215" s="9"/>
      <c r="CQ215" s="9"/>
      <c r="CR215" s="9"/>
      <c r="CS215" s="9"/>
      <c r="CT215" s="9"/>
      <c r="CU215" s="9"/>
      <c r="CV215" s="9"/>
      <c r="CW215" s="9"/>
      <c r="CX215" s="9"/>
      <c r="CY215" s="9"/>
      <c r="CZ215" s="9"/>
      <c r="DA215" s="9"/>
      <c r="DB215" s="9"/>
    </row>
    <row r="216" spans="1:106" ht="9.9499999999999993" customHeight="1" x14ac:dyDescent="0.25">
      <c r="A216" s="7"/>
      <c r="B216" s="7"/>
      <c r="C216" s="8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/>
      <c r="BO216" s="9"/>
      <c r="BP216" s="9"/>
      <c r="BQ216" s="9"/>
      <c r="BR216" s="9"/>
      <c r="BS216" s="9"/>
      <c r="BT216" s="9"/>
      <c r="BU216" s="9"/>
      <c r="BV216" s="9"/>
      <c r="BW216" s="9"/>
      <c r="BX216" s="9"/>
      <c r="BY216" s="9"/>
      <c r="BZ216" s="9"/>
      <c r="CA216" s="9"/>
      <c r="CB216" s="9"/>
      <c r="CC216" s="9"/>
      <c r="CD216" s="9"/>
      <c r="CE216" s="9"/>
      <c r="CF216" s="9"/>
      <c r="CG216" s="9"/>
      <c r="CH216" s="9"/>
      <c r="CI216" s="9"/>
      <c r="CJ216" s="9"/>
      <c r="CK216" s="9"/>
      <c r="CL216" s="9"/>
      <c r="CM216" s="9"/>
      <c r="CN216" s="9"/>
      <c r="CO216" s="9"/>
      <c r="CP216" s="9"/>
      <c r="CQ216" s="9"/>
      <c r="CR216" s="9"/>
      <c r="CS216" s="9"/>
      <c r="CT216" s="9"/>
      <c r="CU216" s="9"/>
      <c r="CV216" s="9"/>
      <c r="CW216" s="9"/>
      <c r="CX216" s="9"/>
      <c r="CY216" s="9"/>
      <c r="CZ216" s="9"/>
      <c r="DA216" s="9"/>
      <c r="DB216" s="9"/>
    </row>
    <row r="217" spans="1:106" ht="9.9499999999999993" customHeight="1" x14ac:dyDescent="0.25">
      <c r="A217" s="7"/>
      <c r="B217" s="7"/>
      <c r="C217" s="8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9"/>
      <c r="CF217" s="9"/>
      <c r="CG217" s="9"/>
      <c r="CH217" s="9"/>
      <c r="CI217" s="9"/>
      <c r="CJ217" s="9"/>
      <c r="CK217" s="9"/>
      <c r="CL217" s="9"/>
      <c r="CM217" s="9"/>
      <c r="CN217" s="9"/>
      <c r="CO217" s="9"/>
      <c r="CP217" s="9"/>
      <c r="CQ217" s="9"/>
      <c r="CR217" s="9"/>
      <c r="CS217" s="9"/>
      <c r="CT217" s="9"/>
      <c r="CU217" s="9"/>
      <c r="CV217" s="9"/>
      <c r="CW217" s="9"/>
      <c r="CX217" s="9"/>
      <c r="CY217" s="9"/>
      <c r="CZ217" s="9"/>
      <c r="DA217" s="9"/>
      <c r="DB217" s="9"/>
    </row>
    <row r="218" spans="1:106" ht="9.9499999999999993" customHeight="1" x14ac:dyDescent="0.25">
      <c r="A218" s="7"/>
      <c r="B218" s="7"/>
      <c r="C218" s="8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/>
      <c r="BO218" s="9"/>
      <c r="BP218" s="9"/>
      <c r="BQ218" s="9"/>
      <c r="BR218" s="9"/>
      <c r="BS218" s="9"/>
      <c r="BT218" s="9"/>
      <c r="BU218" s="9"/>
      <c r="BV218" s="9"/>
      <c r="BW218" s="9"/>
      <c r="BX218" s="9"/>
      <c r="BY218" s="9"/>
      <c r="BZ218" s="9"/>
      <c r="CA218" s="9"/>
      <c r="CB218" s="9"/>
      <c r="CC218" s="9"/>
      <c r="CD218" s="9"/>
      <c r="CE218" s="9"/>
      <c r="CF218" s="9"/>
      <c r="CG218" s="9"/>
      <c r="CH218" s="9"/>
      <c r="CI218" s="9"/>
      <c r="CJ218" s="9"/>
      <c r="CK218" s="9"/>
      <c r="CL218" s="9"/>
      <c r="CM218" s="9"/>
      <c r="CN218" s="9"/>
      <c r="CO218" s="9"/>
      <c r="CP218" s="9"/>
      <c r="CQ218" s="9"/>
      <c r="CR218" s="9"/>
      <c r="CS218" s="9"/>
      <c r="CT218" s="9"/>
      <c r="CU218" s="9"/>
      <c r="CV218" s="9"/>
      <c r="CW218" s="9"/>
      <c r="CX218" s="9"/>
      <c r="CY218" s="9"/>
      <c r="CZ218" s="9"/>
      <c r="DA218" s="9"/>
      <c r="DB218" s="9"/>
    </row>
    <row r="219" spans="1:106" ht="9.9499999999999993" customHeight="1" x14ac:dyDescent="0.25">
      <c r="A219" s="7"/>
      <c r="B219" s="7"/>
      <c r="C219" s="8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/>
      <c r="BO219" s="9"/>
      <c r="BP219" s="9"/>
      <c r="BQ219" s="9"/>
      <c r="BR219" s="9"/>
      <c r="BS219" s="9"/>
      <c r="BT219" s="9"/>
      <c r="BU219" s="9"/>
      <c r="BV219" s="9"/>
      <c r="BW219" s="9"/>
      <c r="BX219" s="9"/>
      <c r="BY219" s="9"/>
      <c r="BZ219" s="9"/>
      <c r="CA219" s="9"/>
      <c r="CB219" s="9"/>
      <c r="CC219" s="9"/>
      <c r="CD219" s="9"/>
      <c r="CE219" s="9"/>
      <c r="CF219" s="9"/>
      <c r="CG219" s="9"/>
      <c r="CH219" s="9"/>
      <c r="CI219" s="9"/>
      <c r="CJ219" s="9"/>
      <c r="CK219" s="9"/>
      <c r="CL219" s="9"/>
      <c r="CM219" s="9"/>
      <c r="CN219" s="9"/>
      <c r="CO219" s="9"/>
      <c r="CP219" s="9"/>
      <c r="CQ219" s="9"/>
      <c r="CR219" s="9"/>
      <c r="CS219" s="9"/>
      <c r="CT219" s="9"/>
      <c r="CU219" s="9"/>
      <c r="CV219" s="9"/>
      <c r="CW219" s="9"/>
      <c r="CX219" s="9"/>
      <c r="CY219" s="9"/>
      <c r="CZ219" s="9"/>
      <c r="DA219" s="9"/>
      <c r="DB219" s="9"/>
    </row>
    <row r="220" spans="1:106" ht="9.9499999999999993" customHeight="1" x14ac:dyDescent="0.25">
      <c r="A220" s="7"/>
      <c r="B220" s="7"/>
      <c r="C220" s="8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9"/>
      <c r="BC220" s="9"/>
      <c r="BD220" s="9"/>
      <c r="BE220" s="9"/>
      <c r="BF220" s="9"/>
      <c r="BG220" s="9"/>
      <c r="BH220" s="9"/>
      <c r="BI220" s="9"/>
      <c r="BJ220" s="9"/>
      <c r="BK220" s="9"/>
      <c r="BL220" s="9"/>
      <c r="BM220" s="9"/>
      <c r="BN220" s="9"/>
      <c r="BO220" s="9"/>
      <c r="BP220" s="9"/>
      <c r="BQ220" s="9"/>
      <c r="BR220" s="9"/>
      <c r="BS220" s="9"/>
      <c r="BT220" s="9"/>
      <c r="BU220" s="9"/>
      <c r="BV220" s="9"/>
      <c r="BW220" s="9"/>
      <c r="BX220" s="9"/>
      <c r="BY220" s="9"/>
      <c r="BZ220" s="9"/>
      <c r="CA220" s="9"/>
      <c r="CB220" s="9"/>
      <c r="CC220" s="9"/>
      <c r="CD220" s="9"/>
      <c r="CE220" s="9"/>
      <c r="CF220" s="9"/>
      <c r="CG220" s="9"/>
      <c r="CH220" s="9"/>
      <c r="CI220" s="9"/>
      <c r="CJ220" s="9"/>
      <c r="CK220" s="9"/>
      <c r="CL220" s="9"/>
      <c r="CM220" s="9"/>
      <c r="CN220" s="9"/>
      <c r="CO220" s="9"/>
      <c r="CP220" s="9"/>
      <c r="CQ220" s="9"/>
      <c r="CR220" s="9"/>
      <c r="CS220" s="9"/>
      <c r="CT220" s="9"/>
      <c r="CU220" s="9"/>
      <c r="CV220" s="9"/>
      <c r="CW220" s="9"/>
      <c r="CX220" s="9"/>
      <c r="CY220" s="9"/>
      <c r="CZ220" s="9"/>
      <c r="DA220" s="9"/>
      <c r="DB220" s="9"/>
    </row>
    <row r="221" spans="1:106" ht="9.9499999999999993" customHeight="1" x14ac:dyDescent="0.25">
      <c r="A221" s="7"/>
      <c r="B221" s="7"/>
      <c r="C221" s="8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  <c r="BP221" s="9"/>
      <c r="BQ221" s="9"/>
      <c r="BR221" s="9"/>
      <c r="BS221" s="9"/>
      <c r="BT221" s="9"/>
      <c r="BU221" s="9"/>
      <c r="BV221" s="9"/>
      <c r="BW221" s="9"/>
      <c r="BX221" s="9"/>
      <c r="BY221" s="9"/>
      <c r="BZ221" s="9"/>
      <c r="CA221" s="9"/>
      <c r="CB221" s="9"/>
      <c r="CC221" s="9"/>
      <c r="CD221" s="9"/>
      <c r="CE221" s="9"/>
      <c r="CF221" s="9"/>
      <c r="CG221" s="9"/>
      <c r="CH221" s="9"/>
      <c r="CI221" s="9"/>
      <c r="CJ221" s="9"/>
      <c r="CK221" s="9"/>
      <c r="CL221" s="9"/>
      <c r="CM221" s="9"/>
      <c r="CN221" s="9"/>
      <c r="CO221" s="9"/>
      <c r="CP221" s="9"/>
      <c r="CQ221" s="9"/>
      <c r="CR221" s="9"/>
      <c r="CS221" s="9"/>
      <c r="CT221" s="9"/>
      <c r="CU221" s="9"/>
      <c r="CV221" s="9"/>
      <c r="CW221" s="9"/>
      <c r="CX221" s="9"/>
      <c r="CY221" s="9"/>
      <c r="CZ221" s="9"/>
      <c r="DA221" s="9"/>
      <c r="DB221" s="9"/>
    </row>
    <row r="222" spans="1:106" ht="9.9499999999999993" customHeight="1" x14ac:dyDescent="0.25">
      <c r="A222" s="7"/>
      <c r="B222" s="7"/>
      <c r="C222" s="8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/>
      <c r="BO222" s="9"/>
      <c r="BP222" s="9"/>
      <c r="BQ222" s="9"/>
      <c r="BR222" s="9"/>
      <c r="BS222" s="9"/>
      <c r="BT222" s="9"/>
      <c r="BU222" s="9"/>
      <c r="BV222" s="9"/>
      <c r="BW222" s="9"/>
      <c r="BX222" s="9"/>
      <c r="BY222" s="9"/>
      <c r="BZ222" s="9"/>
      <c r="CA222" s="9"/>
      <c r="CB222" s="9"/>
      <c r="CC222" s="9"/>
      <c r="CD222" s="9"/>
      <c r="CE222" s="9"/>
      <c r="CF222" s="9"/>
      <c r="CG222" s="9"/>
      <c r="CH222" s="9"/>
      <c r="CI222" s="9"/>
      <c r="CJ222" s="9"/>
      <c r="CK222" s="9"/>
      <c r="CL222" s="9"/>
      <c r="CM222" s="9"/>
      <c r="CN222" s="9"/>
      <c r="CO222" s="9"/>
      <c r="CP222" s="9"/>
      <c r="CQ222" s="9"/>
      <c r="CR222" s="9"/>
      <c r="CS222" s="9"/>
      <c r="CT222" s="9"/>
      <c r="CU222" s="9"/>
      <c r="CV222" s="9"/>
      <c r="CW222" s="9"/>
      <c r="CX222" s="9"/>
      <c r="CY222" s="9"/>
      <c r="CZ222" s="9"/>
      <c r="DA222" s="9"/>
      <c r="DB222" s="9"/>
    </row>
    <row r="223" spans="1:106" ht="9.9499999999999993" customHeight="1" x14ac:dyDescent="0.25">
      <c r="A223" s="7"/>
      <c r="B223" s="7"/>
      <c r="C223" s="8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9"/>
      <c r="BC223" s="9"/>
      <c r="BD223" s="9"/>
      <c r="BE223" s="9"/>
      <c r="BF223" s="9"/>
      <c r="BG223" s="9"/>
      <c r="BH223" s="9"/>
      <c r="BI223" s="9"/>
      <c r="BJ223" s="9"/>
      <c r="BK223" s="9"/>
      <c r="BL223" s="9"/>
      <c r="BM223" s="9"/>
      <c r="BN223" s="9"/>
      <c r="BO223" s="9"/>
      <c r="BP223" s="9"/>
      <c r="BQ223" s="9"/>
      <c r="BR223" s="9"/>
      <c r="BS223" s="9"/>
      <c r="BT223" s="9"/>
      <c r="BU223" s="9"/>
      <c r="BV223" s="9"/>
      <c r="BW223" s="9"/>
      <c r="BX223" s="9"/>
      <c r="BY223" s="9"/>
      <c r="BZ223" s="9"/>
      <c r="CA223" s="9"/>
      <c r="CB223" s="9"/>
      <c r="CC223" s="9"/>
      <c r="CD223" s="9"/>
      <c r="CE223" s="9"/>
      <c r="CF223" s="9"/>
      <c r="CG223" s="9"/>
      <c r="CH223" s="9"/>
      <c r="CI223" s="9"/>
      <c r="CJ223" s="9"/>
      <c r="CK223" s="9"/>
      <c r="CL223" s="9"/>
      <c r="CM223" s="9"/>
      <c r="CN223" s="9"/>
      <c r="CO223" s="9"/>
      <c r="CP223" s="9"/>
      <c r="CQ223" s="9"/>
      <c r="CR223" s="9"/>
      <c r="CS223" s="9"/>
      <c r="CT223" s="9"/>
      <c r="CU223" s="9"/>
      <c r="CV223" s="9"/>
      <c r="CW223" s="9"/>
      <c r="CX223" s="9"/>
      <c r="CY223" s="9"/>
      <c r="CZ223" s="9"/>
      <c r="DA223" s="9"/>
      <c r="DB223" s="9"/>
    </row>
    <row r="224" spans="1:106" ht="9.9499999999999993" customHeight="1" x14ac:dyDescent="0.25">
      <c r="A224" s="7"/>
      <c r="B224" s="7"/>
      <c r="C224" s="8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  <c r="BP224" s="9"/>
      <c r="BQ224" s="9"/>
      <c r="BR224" s="9"/>
      <c r="BS224" s="9"/>
      <c r="BT224" s="9"/>
      <c r="BU224" s="9"/>
      <c r="BV224" s="9"/>
      <c r="BW224" s="9"/>
      <c r="BX224" s="9"/>
      <c r="BY224" s="9"/>
      <c r="BZ224" s="9"/>
      <c r="CA224" s="9"/>
      <c r="CB224" s="9"/>
      <c r="CC224" s="9"/>
      <c r="CD224" s="9"/>
      <c r="CE224" s="9"/>
      <c r="CF224" s="9"/>
      <c r="CG224" s="9"/>
      <c r="CH224" s="9"/>
      <c r="CI224" s="9"/>
      <c r="CJ224" s="9"/>
      <c r="CK224" s="9"/>
      <c r="CL224" s="9"/>
      <c r="CM224" s="9"/>
      <c r="CN224" s="9"/>
      <c r="CO224" s="9"/>
      <c r="CP224" s="9"/>
      <c r="CQ224" s="9"/>
      <c r="CR224" s="9"/>
      <c r="CS224" s="9"/>
      <c r="CT224" s="9"/>
      <c r="CU224" s="9"/>
      <c r="CV224" s="9"/>
      <c r="CW224" s="9"/>
      <c r="CX224" s="9"/>
      <c r="CY224" s="9"/>
      <c r="CZ224" s="9"/>
      <c r="DA224" s="9"/>
      <c r="DB224" s="9"/>
    </row>
    <row r="225" spans="1:106" ht="9.9499999999999993" customHeight="1" x14ac:dyDescent="0.25">
      <c r="A225" s="7"/>
      <c r="B225" s="7"/>
      <c r="C225" s="8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9"/>
      <c r="BN225" s="9"/>
      <c r="BO225" s="9"/>
      <c r="BP225" s="9"/>
      <c r="BQ225" s="9"/>
      <c r="BR225" s="9"/>
      <c r="BS225" s="9"/>
      <c r="BT225" s="9"/>
      <c r="BU225" s="9"/>
      <c r="BV225" s="9"/>
      <c r="BW225" s="9"/>
      <c r="BX225" s="9"/>
      <c r="BY225" s="9"/>
      <c r="BZ225" s="9"/>
      <c r="CA225" s="9"/>
      <c r="CB225" s="9"/>
      <c r="CC225" s="9"/>
      <c r="CD225" s="9"/>
      <c r="CE225" s="9"/>
      <c r="CF225" s="9"/>
      <c r="CG225" s="9"/>
      <c r="CH225" s="9"/>
      <c r="CI225" s="9"/>
      <c r="CJ225" s="9"/>
      <c r="CK225" s="9"/>
      <c r="CL225" s="9"/>
      <c r="CM225" s="9"/>
      <c r="CN225" s="9"/>
      <c r="CO225" s="9"/>
      <c r="CP225" s="9"/>
      <c r="CQ225" s="9"/>
      <c r="CR225" s="9"/>
      <c r="CS225" s="9"/>
      <c r="CT225" s="9"/>
      <c r="CU225" s="9"/>
      <c r="CV225" s="9"/>
      <c r="CW225" s="9"/>
      <c r="CX225" s="9"/>
      <c r="CY225" s="9"/>
      <c r="CZ225" s="9"/>
      <c r="DA225" s="9"/>
      <c r="DB225" s="9"/>
    </row>
    <row r="226" spans="1:106" ht="9.9499999999999993" customHeight="1" x14ac:dyDescent="0.25">
      <c r="A226" s="7"/>
      <c r="B226" s="7"/>
      <c r="C226" s="8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9"/>
      <c r="BC226" s="9"/>
      <c r="BD226" s="9"/>
      <c r="BE226" s="9"/>
      <c r="BF226" s="9"/>
      <c r="BG226" s="9"/>
      <c r="BH226" s="9"/>
      <c r="BI226" s="9"/>
      <c r="BJ226" s="9"/>
      <c r="BK226" s="9"/>
      <c r="BL226" s="9"/>
      <c r="BM226" s="9"/>
      <c r="BN226" s="9"/>
      <c r="BO226" s="9"/>
      <c r="BP226" s="9"/>
      <c r="BQ226" s="9"/>
      <c r="BR226" s="9"/>
      <c r="BS226" s="9"/>
      <c r="BT226" s="9"/>
      <c r="BU226" s="9"/>
      <c r="BV226" s="9"/>
      <c r="BW226" s="9"/>
      <c r="BX226" s="9"/>
      <c r="BY226" s="9"/>
      <c r="BZ226" s="9"/>
      <c r="CA226" s="9"/>
      <c r="CB226" s="9"/>
      <c r="CC226" s="9"/>
      <c r="CD226" s="9"/>
      <c r="CE226" s="9"/>
      <c r="CF226" s="9"/>
      <c r="CG226" s="9"/>
      <c r="CH226" s="9"/>
      <c r="CI226" s="9"/>
      <c r="CJ226" s="9"/>
      <c r="CK226" s="9"/>
      <c r="CL226" s="9"/>
      <c r="CM226" s="9"/>
      <c r="CN226" s="9"/>
      <c r="CO226" s="9"/>
      <c r="CP226" s="9"/>
      <c r="CQ226" s="9"/>
      <c r="CR226" s="9"/>
      <c r="CS226" s="9"/>
      <c r="CT226" s="9"/>
      <c r="CU226" s="9"/>
      <c r="CV226" s="9"/>
      <c r="CW226" s="9"/>
      <c r="CX226" s="9"/>
      <c r="CY226" s="9"/>
      <c r="CZ226" s="9"/>
      <c r="DA226" s="9"/>
      <c r="DB226" s="9"/>
    </row>
    <row r="227" spans="1:106" ht="9.9499999999999993" customHeight="1" x14ac:dyDescent="0.25">
      <c r="A227" s="7"/>
      <c r="B227" s="7"/>
      <c r="C227" s="8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/>
      <c r="BO227" s="9"/>
      <c r="BP227" s="9"/>
      <c r="BQ227" s="9"/>
      <c r="BR227" s="9"/>
      <c r="BS227" s="9"/>
      <c r="BT227" s="9"/>
      <c r="BU227" s="9"/>
      <c r="BV227" s="9"/>
      <c r="BW227" s="9"/>
      <c r="BX227" s="9"/>
      <c r="BY227" s="9"/>
      <c r="BZ227" s="9"/>
      <c r="CA227" s="9"/>
      <c r="CB227" s="9"/>
      <c r="CC227" s="9"/>
      <c r="CD227" s="9"/>
      <c r="CE227" s="9"/>
      <c r="CF227" s="9"/>
      <c r="CG227" s="9"/>
      <c r="CH227" s="9"/>
      <c r="CI227" s="9"/>
      <c r="CJ227" s="9"/>
      <c r="CK227" s="9"/>
      <c r="CL227" s="9"/>
      <c r="CM227" s="9"/>
      <c r="CN227" s="9"/>
      <c r="CO227" s="9"/>
      <c r="CP227" s="9"/>
      <c r="CQ227" s="9"/>
      <c r="CR227" s="9"/>
      <c r="CS227" s="9"/>
      <c r="CT227" s="9"/>
      <c r="CU227" s="9"/>
      <c r="CV227" s="9"/>
      <c r="CW227" s="9"/>
      <c r="CX227" s="9"/>
      <c r="CY227" s="9"/>
      <c r="CZ227" s="9"/>
      <c r="DA227" s="9"/>
      <c r="DB227" s="9"/>
    </row>
    <row r="228" spans="1:106" ht="9.9499999999999993" customHeight="1" x14ac:dyDescent="0.25">
      <c r="A228" s="7"/>
      <c r="B228" s="7"/>
      <c r="C228" s="8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/>
      <c r="BO228" s="9"/>
      <c r="BP228" s="9"/>
      <c r="BQ228" s="9"/>
      <c r="BR228" s="9"/>
      <c r="BS228" s="9"/>
      <c r="BT228" s="9"/>
      <c r="BU228" s="9"/>
      <c r="BV228" s="9"/>
      <c r="BW228" s="9"/>
      <c r="BX228" s="9"/>
      <c r="BY228" s="9"/>
      <c r="BZ228" s="9"/>
      <c r="CA228" s="9"/>
      <c r="CB228" s="9"/>
      <c r="CC228" s="9"/>
      <c r="CD228" s="9"/>
      <c r="CE228" s="9"/>
      <c r="CF228" s="9"/>
      <c r="CG228" s="9"/>
      <c r="CH228" s="9"/>
      <c r="CI228" s="9"/>
      <c r="CJ228" s="9"/>
      <c r="CK228" s="9"/>
      <c r="CL228" s="9"/>
      <c r="CM228" s="9"/>
      <c r="CN228" s="9"/>
      <c r="CO228" s="9"/>
      <c r="CP228" s="9"/>
      <c r="CQ228" s="9"/>
      <c r="CR228" s="9"/>
      <c r="CS228" s="9"/>
      <c r="CT228" s="9"/>
      <c r="CU228" s="9"/>
      <c r="CV228" s="9"/>
      <c r="CW228" s="9"/>
      <c r="CX228" s="9"/>
      <c r="CY228" s="9"/>
      <c r="CZ228" s="9"/>
      <c r="DA228" s="9"/>
      <c r="DB228" s="9"/>
    </row>
    <row r="229" spans="1:106" ht="9.9499999999999993" customHeight="1" x14ac:dyDescent="0.25">
      <c r="A229" s="7"/>
      <c r="B229" s="7"/>
      <c r="C229" s="8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9"/>
      <c r="BC229" s="9"/>
      <c r="BD229" s="9"/>
      <c r="BE229" s="9"/>
      <c r="BF229" s="9"/>
      <c r="BG229" s="9"/>
      <c r="BH229" s="9"/>
      <c r="BI229" s="9"/>
      <c r="BJ229" s="9"/>
      <c r="BK229" s="9"/>
      <c r="BL229" s="9"/>
      <c r="BM229" s="9"/>
      <c r="BN229" s="9"/>
      <c r="BO229" s="9"/>
      <c r="BP229" s="9"/>
      <c r="BQ229" s="9"/>
      <c r="BR229" s="9"/>
      <c r="BS229" s="9"/>
      <c r="BT229" s="9"/>
      <c r="BU229" s="9"/>
      <c r="BV229" s="9"/>
      <c r="BW229" s="9"/>
      <c r="BX229" s="9"/>
      <c r="BY229" s="9"/>
      <c r="BZ229" s="9"/>
      <c r="CA229" s="9"/>
      <c r="CB229" s="9"/>
      <c r="CC229" s="9"/>
      <c r="CD229" s="9"/>
      <c r="CE229" s="9"/>
      <c r="CF229" s="9"/>
      <c r="CG229" s="9"/>
      <c r="CH229" s="9"/>
      <c r="CI229" s="9"/>
      <c r="CJ229" s="9"/>
      <c r="CK229" s="9"/>
      <c r="CL229" s="9"/>
      <c r="CM229" s="9"/>
      <c r="CN229" s="9"/>
      <c r="CO229" s="9"/>
      <c r="CP229" s="9"/>
      <c r="CQ229" s="9"/>
      <c r="CR229" s="9"/>
      <c r="CS229" s="9"/>
      <c r="CT229" s="9"/>
      <c r="CU229" s="9"/>
      <c r="CV229" s="9"/>
      <c r="CW229" s="9"/>
      <c r="CX229" s="9"/>
      <c r="CY229" s="9"/>
      <c r="CZ229" s="9"/>
      <c r="DA229" s="9"/>
      <c r="DB229" s="9"/>
    </row>
    <row r="230" spans="1:106" ht="9.9499999999999993" customHeight="1" x14ac:dyDescent="0.25">
      <c r="A230" s="7"/>
      <c r="B230" s="7"/>
      <c r="C230" s="8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/>
      <c r="BO230" s="9"/>
      <c r="BP230" s="9"/>
      <c r="BQ230" s="9"/>
      <c r="BR230" s="9"/>
      <c r="BS230" s="9"/>
      <c r="BT230" s="9"/>
      <c r="BU230" s="9"/>
      <c r="BV230" s="9"/>
      <c r="BW230" s="9"/>
      <c r="BX230" s="9"/>
      <c r="BY230" s="9"/>
      <c r="BZ230" s="9"/>
      <c r="CA230" s="9"/>
      <c r="CB230" s="9"/>
      <c r="CC230" s="9"/>
      <c r="CD230" s="9"/>
      <c r="CE230" s="9"/>
      <c r="CF230" s="9"/>
      <c r="CG230" s="9"/>
      <c r="CH230" s="9"/>
      <c r="CI230" s="9"/>
      <c r="CJ230" s="9"/>
      <c r="CK230" s="9"/>
      <c r="CL230" s="9"/>
      <c r="CM230" s="9"/>
      <c r="CN230" s="9"/>
      <c r="CO230" s="9"/>
      <c r="CP230" s="9"/>
      <c r="CQ230" s="9"/>
      <c r="CR230" s="9"/>
      <c r="CS230" s="9"/>
      <c r="CT230" s="9"/>
      <c r="CU230" s="9"/>
      <c r="CV230" s="9"/>
      <c r="CW230" s="9"/>
      <c r="CX230" s="9"/>
      <c r="CY230" s="9"/>
      <c r="CZ230" s="9"/>
      <c r="DA230" s="9"/>
      <c r="DB230" s="9"/>
    </row>
    <row r="231" spans="1:106" ht="9.9499999999999993" customHeight="1" x14ac:dyDescent="0.25">
      <c r="A231" s="7"/>
      <c r="B231" s="7"/>
      <c r="C231" s="8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/>
      <c r="BO231" s="9"/>
      <c r="BP231" s="9"/>
      <c r="BQ231" s="9"/>
      <c r="BR231" s="9"/>
      <c r="BS231" s="9"/>
      <c r="BT231" s="9"/>
      <c r="BU231" s="9"/>
      <c r="BV231" s="9"/>
      <c r="BW231" s="9"/>
      <c r="BX231" s="9"/>
      <c r="BY231" s="9"/>
      <c r="BZ231" s="9"/>
      <c r="CA231" s="9"/>
      <c r="CB231" s="9"/>
      <c r="CC231" s="9"/>
      <c r="CD231" s="9"/>
      <c r="CE231" s="9"/>
      <c r="CF231" s="9"/>
      <c r="CG231" s="9"/>
      <c r="CH231" s="9"/>
      <c r="CI231" s="9"/>
      <c r="CJ231" s="9"/>
      <c r="CK231" s="9"/>
      <c r="CL231" s="9"/>
      <c r="CM231" s="9"/>
      <c r="CN231" s="9"/>
      <c r="CO231" s="9"/>
      <c r="CP231" s="9"/>
      <c r="CQ231" s="9"/>
      <c r="CR231" s="9"/>
      <c r="CS231" s="9"/>
      <c r="CT231" s="9"/>
      <c r="CU231" s="9"/>
      <c r="CV231" s="9"/>
      <c r="CW231" s="9"/>
      <c r="CX231" s="9"/>
      <c r="CY231" s="9"/>
      <c r="CZ231" s="9"/>
      <c r="DA231" s="9"/>
      <c r="DB231" s="9"/>
    </row>
    <row r="232" spans="1:106" ht="9.9499999999999993" customHeight="1" x14ac:dyDescent="0.25">
      <c r="A232" s="7"/>
      <c r="B232" s="7"/>
      <c r="C232" s="8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9"/>
      <c r="BN232" s="9"/>
      <c r="BO232" s="9"/>
      <c r="BP232" s="9"/>
      <c r="BQ232" s="9"/>
      <c r="BR232" s="9"/>
      <c r="BS232" s="9"/>
      <c r="BT232" s="9"/>
      <c r="BU232" s="9"/>
      <c r="BV232" s="9"/>
      <c r="BW232" s="9"/>
      <c r="BX232" s="9"/>
      <c r="BY232" s="9"/>
      <c r="BZ232" s="9"/>
      <c r="CA232" s="9"/>
      <c r="CB232" s="9"/>
      <c r="CC232" s="9"/>
      <c r="CD232" s="9"/>
      <c r="CE232" s="9"/>
      <c r="CF232" s="9"/>
      <c r="CG232" s="9"/>
      <c r="CH232" s="9"/>
      <c r="CI232" s="9"/>
      <c r="CJ232" s="9"/>
      <c r="CK232" s="9"/>
      <c r="CL232" s="9"/>
      <c r="CM232" s="9"/>
      <c r="CN232" s="9"/>
      <c r="CO232" s="9"/>
      <c r="CP232" s="9"/>
      <c r="CQ232" s="9"/>
      <c r="CR232" s="9"/>
      <c r="CS232" s="9"/>
      <c r="CT232" s="9"/>
      <c r="CU232" s="9"/>
      <c r="CV232" s="9"/>
      <c r="CW232" s="9"/>
      <c r="CX232" s="9"/>
      <c r="CY232" s="9"/>
      <c r="CZ232" s="9"/>
      <c r="DA232" s="9"/>
      <c r="DB232" s="9"/>
    </row>
    <row r="233" spans="1:106" ht="9.9499999999999993" customHeight="1" x14ac:dyDescent="0.25">
      <c r="A233" s="7"/>
      <c r="B233" s="7"/>
      <c r="C233" s="8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/>
      <c r="BO233" s="9"/>
      <c r="BP233" s="9"/>
      <c r="BQ233" s="9"/>
      <c r="BR233" s="9"/>
      <c r="BS233" s="9"/>
      <c r="BT233" s="9"/>
      <c r="BU233" s="9"/>
      <c r="BV233" s="9"/>
      <c r="BW233" s="9"/>
      <c r="BX233" s="9"/>
      <c r="BY233" s="9"/>
      <c r="BZ233" s="9"/>
      <c r="CA233" s="9"/>
      <c r="CB233" s="9"/>
      <c r="CC233" s="9"/>
      <c r="CD233" s="9"/>
      <c r="CE233" s="9"/>
      <c r="CF233" s="9"/>
      <c r="CG233" s="9"/>
      <c r="CH233" s="9"/>
      <c r="CI233" s="9"/>
      <c r="CJ233" s="9"/>
      <c r="CK233" s="9"/>
      <c r="CL233" s="9"/>
      <c r="CM233" s="9"/>
      <c r="CN233" s="9"/>
      <c r="CO233" s="9"/>
      <c r="CP233" s="9"/>
      <c r="CQ233" s="9"/>
      <c r="CR233" s="9"/>
      <c r="CS233" s="9"/>
      <c r="CT233" s="9"/>
      <c r="CU233" s="9"/>
      <c r="CV233" s="9"/>
      <c r="CW233" s="9"/>
      <c r="CX233" s="9"/>
      <c r="CY233" s="9"/>
      <c r="CZ233" s="9"/>
      <c r="DA233" s="9"/>
      <c r="DB233" s="9"/>
    </row>
    <row r="234" spans="1:106" ht="9.9499999999999993" customHeight="1" x14ac:dyDescent="0.25">
      <c r="A234" s="7"/>
      <c r="B234" s="7"/>
      <c r="C234" s="8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/>
      <c r="BO234" s="9"/>
      <c r="BP234" s="9"/>
      <c r="BQ234" s="9"/>
      <c r="BR234" s="9"/>
      <c r="BS234" s="9"/>
      <c r="BT234" s="9"/>
      <c r="BU234" s="9"/>
      <c r="BV234" s="9"/>
      <c r="BW234" s="9"/>
      <c r="BX234" s="9"/>
      <c r="BY234" s="9"/>
      <c r="BZ234" s="9"/>
      <c r="CA234" s="9"/>
      <c r="CB234" s="9"/>
      <c r="CC234" s="9"/>
      <c r="CD234" s="9"/>
      <c r="CE234" s="9"/>
      <c r="CF234" s="9"/>
      <c r="CG234" s="9"/>
      <c r="CH234" s="9"/>
      <c r="CI234" s="9"/>
      <c r="CJ234" s="9"/>
      <c r="CK234" s="9"/>
      <c r="CL234" s="9"/>
      <c r="CM234" s="9"/>
      <c r="CN234" s="9"/>
      <c r="CO234" s="9"/>
      <c r="CP234" s="9"/>
      <c r="CQ234" s="9"/>
      <c r="CR234" s="9"/>
      <c r="CS234" s="9"/>
      <c r="CT234" s="9"/>
      <c r="CU234" s="9"/>
      <c r="CV234" s="9"/>
      <c r="CW234" s="9"/>
      <c r="CX234" s="9"/>
      <c r="CY234" s="9"/>
      <c r="CZ234" s="9"/>
      <c r="DA234" s="9"/>
      <c r="DB234" s="9"/>
    </row>
    <row r="235" spans="1:106" ht="9.9499999999999993" customHeight="1" x14ac:dyDescent="0.25">
      <c r="A235" s="7"/>
      <c r="B235" s="7"/>
      <c r="C235" s="8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9"/>
      <c r="BC235" s="9"/>
      <c r="BD235" s="9"/>
      <c r="BE235" s="9"/>
      <c r="BF235" s="9"/>
      <c r="BG235" s="9"/>
      <c r="BH235" s="9"/>
      <c r="BI235" s="9"/>
      <c r="BJ235" s="9"/>
      <c r="BK235" s="9"/>
      <c r="BL235" s="9"/>
      <c r="BM235" s="9"/>
      <c r="BN235" s="9"/>
      <c r="BO235" s="9"/>
      <c r="BP235" s="9"/>
      <c r="BQ235" s="9"/>
      <c r="BR235" s="9"/>
      <c r="BS235" s="9"/>
      <c r="BT235" s="9"/>
      <c r="BU235" s="9"/>
      <c r="BV235" s="9"/>
      <c r="BW235" s="9"/>
      <c r="BX235" s="9"/>
      <c r="BY235" s="9"/>
      <c r="BZ235" s="9"/>
      <c r="CA235" s="9"/>
      <c r="CB235" s="9"/>
      <c r="CC235" s="9"/>
      <c r="CD235" s="9"/>
      <c r="CE235" s="9"/>
      <c r="CF235" s="9"/>
      <c r="CG235" s="9"/>
      <c r="CH235" s="9"/>
      <c r="CI235" s="9"/>
      <c r="CJ235" s="9"/>
      <c r="CK235" s="9"/>
      <c r="CL235" s="9"/>
      <c r="CM235" s="9"/>
      <c r="CN235" s="9"/>
      <c r="CO235" s="9"/>
      <c r="CP235" s="9"/>
      <c r="CQ235" s="9"/>
      <c r="CR235" s="9"/>
      <c r="CS235" s="9"/>
      <c r="CT235" s="9"/>
      <c r="CU235" s="9"/>
      <c r="CV235" s="9"/>
      <c r="CW235" s="9"/>
      <c r="CX235" s="9"/>
      <c r="CY235" s="9"/>
      <c r="CZ235" s="9"/>
      <c r="DA235" s="9"/>
      <c r="DB235" s="9"/>
    </row>
    <row r="236" spans="1:106" ht="9.9499999999999993" customHeight="1" x14ac:dyDescent="0.25">
      <c r="A236" s="7"/>
      <c r="B236" s="7"/>
      <c r="C236" s="8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9"/>
      <c r="BN236" s="9"/>
      <c r="BO236" s="9"/>
      <c r="BP236" s="9"/>
      <c r="BQ236" s="9"/>
      <c r="BR236" s="9"/>
      <c r="BS236" s="9"/>
      <c r="BT236" s="9"/>
      <c r="BU236" s="9"/>
      <c r="BV236" s="9"/>
      <c r="BW236" s="9"/>
      <c r="BX236" s="9"/>
      <c r="BY236" s="9"/>
      <c r="BZ236" s="9"/>
      <c r="CA236" s="9"/>
      <c r="CB236" s="9"/>
      <c r="CC236" s="9"/>
      <c r="CD236" s="9"/>
      <c r="CE236" s="9"/>
      <c r="CF236" s="9"/>
      <c r="CG236" s="9"/>
      <c r="CH236" s="9"/>
      <c r="CI236" s="9"/>
      <c r="CJ236" s="9"/>
      <c r="CK236" s="9"/>
      <c r="CL236" s="9"/>
      <c r="CM236" s="9"/>
      <c r="CN236" s="9"/>
      <c r="CO236" s="9"/>
      <c r="CP236" s="9"/>
      <c r="CQ236" s="9"/>
      <c r="CR236" s="9"/>
      <c r="CS236" s="9"/>
      <c r="CT236" s="9"/>
      <c r="CU236" s="9"/>
      <c r="CV236" s="9"/>
      <c r="CW236" s="9"/>
      <c r="CX236" s="9"/>
      <c r="CY236" s="9"/>
      <c r="CZ236" s="9"/>
      <c r="DA236" s="9"/>
      <c r="DB236" s="9"/>
    </row>
    <row r="237" spans="1:106" ht="9.9499999999999993" customHeight="1" x14ac:dyDescent="0.25">
      <c r="A237" s="7"/>
      <c r="B237" s="7"/>
      <c r="C237" s="8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9"/>
      <c r="BN237" s="9"/>
      <c r="BO237" s="9"/>
      <c r="BP237" s="9"/>
      <c r="BQ237" s="9"/>
      <c r="BR237" s="9"/>
      <c r="BS237" s="9"/>
      <c r="BT237" s="9"/>
      <c r="BU237" s="9"/>
      <c r="BV237" s="9"/>
      <c r="BW237" s="9"/>
      <c r="BX237" s="9"/>
      <c r="BY237" s="9"/>
      <c r="BZ237" s="9"/>
      <c r="CA237" s="9"/>
      <c r="CB237" s="9"/>
      <c r="CC237" s="9"/>
      <c r="CD237" s="9"/>
      <c r="CE237" s="9"/>
      <c r="CF237" s="9"/>
      <c r="CG237" s="9"/>
      <c r="CH237" s="9"/>
      <c r="CI237" s="9"/>
      <c r="CJ237" s="9"/>
      <c r="CK237" s="9"/>
      <c r="CL237" s="9"/>
      <c r="CM237" s="9"/>
      <c r="CN237" s="9"/>
      <c r="CO237" s="9"/>
      <c r="CP237" s="9"/>
      <c r="CQ237" s="9"/>
      <c r="CR237" s="9"/>
      <c r="CS237" s="9"/>
      <c r="CT237" s="9"/>
      <c r="CU237" s="9"/>
      <c r="CV237" s="9"/>
      <c r="CW237" s="9"/>
      <c r="CX237" s="9"/>
      <c r="CY237" s="9"/>
      <c r="CZ237" s="9"/>
      <c r="DA237" s="9"/>
      <c r="DB237" s="9"/>
    </row>
    <row r="238" spans="1:106" ht="9.9499999999999993" customHeight="1" x14ac:dyDescent="0.25">
      <c r="A238" s="7"/>
      <c r="B238" s="7"/>
      <c r="C238" s="8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9"/>
      <c r="BC238" s="9"/>
      <c r="BD238" s="9"/>
      <c r="BE238" s="9"/>
      <c r="BF238" s="9"/>
      <c r="BG238" s="9"/>
      <c r="BH238" s="9"/>
      <c r="BI238" s="9"/>
      <c r="BJ238" s="9"/>
      <c r="BK238" s="9"/>
      <c r="BL238" s="9"/>
      <c r="BM238" s="9"/>
      <c r="BN238" s="9"/>
      <c r="BO238" s="9"/>
      <c r="BP238" s="9"/>
      <c r="BQ238" s="9"/>
      <c r="BR238" s="9"/>
      <c r="BS238" s="9"/>
      <c r="BT238" s="9"/>
      <c r="BU238" s="9"/>
      <c r="BV238" s="9"/>
      <c r="BW238" s="9"/>
      <c r="BX238" s="9"/>
      <c r="BY238" s="9"/>
      <c r="BZ238" s="9"/>
      <c r="CA238" s="9"/>
      <c r="CB238" s="9"/>
      <c r="CC238" s="9"/>
      <c r="CD238" s="9"/>
      <c r="CE238" s="9"/>
      <c r="CF238" s="9"/>
      <c r="CG238" s="9"/>
      <c r="CH238" s="9"/>
      <c r="CI238" s="9"/>
      <c r="CJ238" s="9"/>
      <c r="CK238" s="9"/>
      <c r="CL238" s="9"/>
      <c r="CM238" s="9"/>
      <c r="CN238" s="9"/>
      <c r="CO238" s="9"/>
      <c r="CP238" s="9"/>
      <c r="CQ238" s="9"/>
      <c r="CR238" s="9"/>
      <c r="CS238" s="9"/>
      <c r="CT238" s="9"/>
      <c r="CU238" s="9"/>
      <c r="CV238" s="9"/>
      <c r="CW238" s="9"/>
      <c r="CX238" s="9"/>
      <c r="CY238" s="9"/>
      <c r="CZ238" s="9"/>
      <c r="DA238" s="9"/>
      <c r="DB238" s="9"/>
    </row>
    <row r="239" spans="1:106" ht="9.9499999999999993" customHeight="1" x14ac:dyDescent="0.25">
      <c r="A239" s="7"/>
      <c r="B239" s="7"/>
      <c r="C239" s="8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9"/>
      <c r="BN239" s="9"/>
      <c r="BO239" s="9"/>
      <c r="BP239" s="9"/>
      <c r="BQ239" s="9"/>
      <c r="BR239" s="9"/>
      <c r="BS239" s="9"/>
      <c r="BT239" s="9"/>
      <c r="BU239" s="9"/>
      <c r="BV239" s="9"/>
      <c r="BW239" s="9"/>
      <c r="BX239" s="9"/>
      <c r="BY239" s="9"/>
      <c r="BZ239" s="9"/>
      <c r="CA239" s="9"/>
      <c r="CB239" s="9"/>
      <c r="CC239" s="9"/>
      <c r="CD239" s="9"/>
      <c r="CE239" s="9"/>
      <c r="CF239" s="9"/>
      <c r="CG239" s="9"/>
      <c r="CH239" s="9"/>
      <c r="CI239" s="9"/>
      <c r="CJ239" s="9"/>
      <c r="CK239" s="9"/>
      <c r="CL239" s="9"/>
      <c r="CM239" s="9"/>
      <c r="CN239" s="9"/>
      <c r="CO239" s="9"/>
      <c r="CP239" s="9"/>
      <c r="CQ239" s="9"/>
      <c r="CR239" s="9"/>
      <c r="CS239" s="9"/>
      <c r="CT239" s="9"/>
      <c r="CU239" s="9"/>
      <c r="CV239" s="9"/>
      <c r="CW239" s="9"/>
      <c r="CX239" s="9"/>
      <c r="CY239" s="9"/>
      <c r="CZ239" s="9"/>
      <c r="DA239" s="9"/>
      <c r="DB239" s="9"/>
    </row>
    <row r="240" spans="1:106" ht="9.9499999999999993" customHeight="1" x14ac:dyDescent="0.25">
      <c r="A240" s="7"/>
      <c r="B240" s="7"/>
      <c r="C240" s="8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/>
      <c r="BO240" s="9"/>
      <c r="BP240" s="9"/>
      <c r="BQ240" s="9"/>
      <c r="BR240" s="9"/>
      <c r="BS240" s="9"/>
      <c r="BT240" s="9"/>
      <c r="BU240" s="9"/>
      <c r="BV240" s="9"/>
      <c r="BW240" s="9"/>
      <c r="BX240" s="9"/>
      <c r="BY240" s="9"/>
      <c r="BZ240" s="9"/>
      <c r="CA240" s="9"/>
      <c r="CB240" s="9"/>
      <c r="CC240" s="9"/>
      <c r="CD240" s="9"/>
      <c r="CE240" s="9"/>
      <c r="CF240" s="9"/>
      <c r="CG240" s="9"/>
      <c r="CH240" s="9"/>
      <c r="CI240" s="9"/>
      <c r="CJ240" s="9"/>
      <c r="CK240" s="9"/>
      <c r="CL240" s="9"/>
      <c r="CM240" s="9"/>
      <c r="CN240" s="9"/>
      <c r="CO240" s="9"/>
      <c r="CP240" s="9"/>
      <c r="CQ240" s="9"/>
      <c r="CR240" s="9"/>
      <c r="CS240" s="9"/>
      <c r="CT240" s="9"/>
      <c r="CU240" s="9"/>
      <c r="CV240" s="9"/>
      <c r="CW240" s="9"/>
      <c r="CX240" s="9"/>
      <c r="CY240" s="9"/>
      <c r="CZ240" s="9"/>
      <c r="DA240" s="9"/>
      <c r="DB240" s="9"/>
    </row>
    <row r="241" spans="1:106" ht="9.9499999999999993" customHeight="1" x14ac:dyDescent="0.25">
      <c r="A241" s="7"/>
      <c r="B241" s="7"/>
      <c r="C241" s="8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9"/>
      <c r="BC241" s="9"/>
      <c r="BD241" s="9"/>
      <c r="BE241" s="9"/>
      <c r="BF241" s="9"/>
      <c r="BG241" s="9"/>
      <c r="BH241" s="9"/>
      <c r="BI241" s="9"/>
      <c r="BJ241" s="9"/>
      <c r="BK241" s="9"/>
      <c r="BL241" s="9"/>
      <c r="BM241" s="9"/>
      <c r="BN241" s="9"/>
      <c r="BO241" s="9"/>
      <c r="BP241" s="9"/>
      <c r="BQ241" s="9"/>
      <c r="BR241" s="9"/>
      <c r="BS241" s="9"/>
      <c r="BT241" s="9"/>
      <c r="BU241" s="9"/>
      <c r="BV241" s="9"/>
      <c r="BW241" s="9"/>
      <c r="BX241" s="9"/>
      <c r="BY241" s="9"/>
      <c r="BZ241" s="9"/>
      <c r="CA241" s="9"/>
      <c r="CB241" s="9"/>
      <c r="CC241" s="9"/>
      <c r="CD241" s="9"/>
      <c r="CE241" s="9"/>
      <c r="CF241" s="9"/>
      <c r="CG241" s="9"/>
      <c r="CH241" s="9"/>
      <c r="CI241" s="9"/>
      <c r="CJ241" s="9"/>
      <c r="CK241" s="9"/>
      <c r="CL241" s="9"/>
      <c r="CM241" s="9"/>
      <c r="CN241" s="9"/>
      <c r="CO241" s="9"/>
      <c r="CP241" s="9"/>
      <c r="CQ241" s="9"/>
      <c r="CR241" s="9"/>
      <c r="CS241" s="9"/>
      <c r="CT241" s="9"/>
      <c r="CU241" s="9"/>
      <c r="CV241" s="9"/>
      <c r="CW241" s="9"/>
      <c r="CX241" s="9"/>
      <c r="CY241" s="9"/>
      <c r="CZ241" s="9"/>
      <c r="DA241" s="9"/>
      <c r="DB241" s="9"/>
    </row>
    <row r="242" spans="1:106" ht="9.9499999999999993" customHeight="1" x14ac:dyDescent="0.25">
      <c r="A242" s="7"/>
      <c r="B242" s="7"/>
      <c r="C242" s="8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9"/>
      <c r="BN242" s="9"/>
      <c r="BO242" s="9"/>
      <c r="BP242" s="9"/>
      <c r="BQ242" s="9"/>
      <c r="BR242" s="9"/>
      <c r="BS242" s="9"/>
      <c r="BT242" s="9"/>
      <c r="BU242" s="9"/>
      <c r="BV242" s="9"/>
      <c r="BW242" s="9"/>
      <c r="BX242" s="9"/>
      <c r="BY242" s="9"/>
      <c r="BZ242" s="9"/>
      <c r="CA242" s="9"/>
      <c r="CB242" s="9"/>
      <c r="CC242" s="9"/>
      <c r="CD242" s="9"/>
      <c r="CE242" s="9"/>
      <c r="CF242" s="9"/>
      <c r="CG242" s="9"/>
      <c r="CH242" s="9"/>
      <c r="CI242" s="9"/>
      <c r="CJ242" s="9"/>
      <c r="CK242" s="9"/>
      <c r="CL242" s="9"/>
      <c r="CM242" s="9"/>
      <c r="CN242" s="9"/>
      <c r="CO242" s="9"/>
      <c r="CP242" s="9"/>
      <c r="CQ242" s="9"/>
      <c r="CR242" s="9"/>
      <c r="CS242" s="9"/>
      <c r="CT242" s="9"/>
      <c r="CU242" s="9"/>
      <c r="CV242" s="9"/>
      <c r="CW242" s="9"/>
      <c r="CX242" s="9"/>
      <c r="CY242" s="9"/>
      <c r="CZ242" s="9"/>
      <c r="DA242" s="9"/>
      <c r="DB242" s="9"/>
    </row>
    <row r="243" spans="1:106" ht="9.9499999999999993" customHeight="1" x14ac:dyDescent="0.25">
      <c r="A243" s="7"/>
      <c r="B243" s="7"/>
      <c r="C243" s="8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/>
      <c r="BO243" s="9"/>
      <c r="BP243" s="9"/>
      <c r="BQ243" s="9"/>
      <c r="BR243" s="9"/>
      <c r="BS243" s="9"/>
      <c r="BT243" s="9"/>
      <c r="BU243" s="9"/>
      <c r="BV243" s="9"/>
      <c r="BW243" s="9"/>
      <c r="BX243" s="9"/>
      <c r="BY243" s="9"/>
      <c r="BZ243" s="9"/>
      <c r="CA243" s="9"/>
      <c r="CB243" s="9"/>
      <c r="CC243" s="9"/>
      <c r="CD243" s="9"/>
      <c r="CE243" s="9"/>
      <c r="CF243" s="9"/>
      <c r="CG243" s="9"/>
      <c r="CH243" s="9"/>
      <c r="CI243" s="9"/>
      <c r="CJ243" s="9"/>
      <c r="CK243" s="9"/>
      <c r="CL243" s="9"/>
      <c r="CM243" s="9"/>
      <c r="CN243" s="9"/>
      <c r="CO243" s="9"/>
      <c r="CP243" s="9"/>
      <c r="CQ243" s="9"/>
      <c r="CR243" s="9"/>
      <c r="CS243" s="9"/>
      <c r="CT243" s="9"/>
      <c r="CU243" s="9"/>
      <c r="CV243" s="9"/>
      <c r="CW243" s="9"/>
      <c r="CX243" s="9"/>
      <c r="CY243" s="9"/>
      <c r="CZ243" s="9"/>
      <c r="DA243" s="9"/>
      <c r="DB243" s="9"/>
    </row>
    <row r="244" spans="1:106" ht="9.9499999999999993" customHeight="1" x14ac:dyDescent="0.25">
      <c r="A244" s="7"/>
      <c r="B244" s="7"/>
      <c r="C244" s="8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9"/>
      <c r="BC244" s="9"/>
      <c r="BD244" s="9"/>
      <c r="BE244" s="9"/>
      <c r="BF244" s="9"/>
      <c r="BG244" s="9"/>
      <c r="BH244" s="9"/>
      <c r="BI244" s="9"/>
      <c r="BJ244" s="9"/>
      <c r="BK244" s="9"/>
      <c r="BL244" s="9"/>
      <c r="BM244" s="9"/>
      <c r="BN244" s="9"/>
      <c r="BO244" s="9"/>
      <c r="BP244" s="9"/>
      <c r="BQ244" s="9"/>
      <c r="BR244" s="9"/>
      <c r="BS244" s="9"/>
      <c r="BT244" s="9"/>
      <c r="BU244" s="9"/>
      <c r="BV244" s="9"/>
      <c r="BW244" s="9"/>
      <c r="BX244" s="9"/>
      <c r="BY244" s="9"/>
      <c r="BZ244" s="9"/>
      <c r="CA244" s="9"/>
      <c r="CB244" s="9"/>
      <c r="CC244" s="9"/>
      <c r="CD244" s="9"/>
      <c r="CE244" s="9"/>
      <c r="CF244" s="9"/>
      <c r="CG244" s="9"/>
      <c r="CH244" s="9"/>
      <c r="CI244" s="9"/>
      <c r="CJ244" s="9"/>
      <c r="CK244" s="9"/>
      <c r="CL244" s="9"/>
      <c r="CM244" s="9"/>
      <c r="CN244" s="9"/>
      <c r="CO244" s="9"/>
      <c r="CP244" s="9"/>
      <c r="CQ244" s="9"/>
      <c r="CR244" s="9"/>
      <c r="CS244" s="9"/>
      <c r="CT244" s="9"/>
      <c r="CU244" s="9"/>
      <c r="CV244" s="9"/>
      <c r="CW244" s="9"/>
      <c r="CX244" s="9"/>
      <c r="CY244" s="9"/>
      <c r="CZ244" s="9"/>
      <c r="DA244" s="9"/>
      <c r="DB244" s="9"/>
    </row>
    <row r="245" spans="1:106" ht="9.9499999999999993" customHeight="1" x14ac:dyDescent="0.25">
      <c r="A245" s="7"/>
      <c r="B245" s="7"/>
      <c r="C245" s="8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9"/>
      <c r="CE245" s="9"/>
      <c r="CF245" s="9"/>
      <c r="CG245" s="9"/>
      <c r="CH245" s="9"/>
      <c r="CI245" s="9"/>
      <c r="CJ245" s="9"/>
      <c r="CK245" s="9"/>
      <c r="CL245" s="9"/>
      <c r="CM245" s="9"/>
      <c r="CN245" s="9"/>
      <c r="CO245" s="9"/>
      <c r="CP245" s="9"/>
      <c r="CQ245" s="9"/>
      <c r="CR245" s="9"/>
      <c r="CS245" s="9"/>
      <c r="CT245" s="9"/>
      <c r="CU245" s="9"/>
      <c r="CV245" s="9"/>
      <c r="CW245" s="9"/>
      <c r="CX245" s="9"/>
      <c r="CY245" s="9"/>
      <c r="CZ245" s="9"/>
      <c r="DA245" s="9"/>
      <c r="DB245" s="9"/>
    </row>
    <row r="246" spans="1:106" ht="9.9499999999999993" customHeight="1" x14ac:dyDescent="0.25">
      <c r="A246" s="7"/>
      <c r="B246" s="7"/>
      <c r="C246" s="8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9"/>
      <c r="BN246" s="9"/>
      <c r="BO246" s="9"/>
      <c r="BP246" s="9"/>
      <c r="BQ246" s="9"/>
      <c r="BR246" s="9"/>
      <c r="BS246" s="9"/>
      <c r="BT246" s="9"/>
      <c r="BU246" s="9"/>
      <c r="BV246" s="9"/>
      <c r="BW246" s="9"/>
      <c r="BX246" s="9"/>
      <c r="BY246" s="9"/>
      <c r="BZ246" s="9"/>
      <c r="CA246" s="9"/>
      <c r="CB246" s="9"/>
      <c r="CC246" s="9"/>
      <c r="CD246" s="9"/>
      <c r="CE246" s="9"/>
      <c r="CF246" s="9"/>
      <c r="CG246" s="9"/>
      <c r="CH246" s="9"/>
      <c r="CI246" s="9"/>
      <c r="CJ246" s="9"/>
      <c r="CK246" s="9"/>
      <c r="CL246" s="9"/>
      <c r="CM246" s="9"/>
      <c r="CN246" s="9"/>
      <c r="CO246" s="9"/>
      <c r="CP246" s="9"/>
      <c r="CQ246" s="9"/>
      <c r="CR246" s="9"/>
      <c r="CS246" s="9"/>
      <c r="CT246" s="9"/>
      <c r="CU246" s="9"/>
      <c r="CV246" s="9"/>
      <c r="CW246" s="9"/>
      <c r="CX246" s="9"/>
      <c r="CY246" s="9"/>
      <c r="CZ246" s="9"/>
      <c r="DA246" s="9"/>
      <c r="DB246" s="9"/>
    </row>
    <row r="247" spans="1:106" ht="9.9499999999999993" customHeight="1" x14ac:dyDescent="0.25">
      <c r="A247" s="7"/>
      <c r="B247" s="7"/>
      <c r="C247" s="8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9"/>
      <c r="BC247" s="9"/>
      <c r="BD247" s="9"/>
      <c r="BE247" s="9"/>
      <c r="BF247" s="9"/>
      <c r="BG247" s="9"/>
      <c r="BH247" s="9"/>
      <c r="BI247" s="9"/>
      <c r="BJ247" s="9"/>
      <c r="BK247" s="9"/>
      <c r="BL247" s="9"/>
      <c r="BM247" s="9"/>
      <c r="BN247" s="9"/>
      <c r="BO247" s="9"/>
      <c r="BP247" s="9"/>
      <c r="BQ247" s="9"/>
      <c r="BR247" s="9"/>
      <c r="BS247" s="9"/>
      <c r="BT247" s="9"/>
      <c r="BU247" s="9"/>
      <c r="BV247" s="9"/>
      <c r="BW247" s="9"/>
      <c r="BX247" s="9"/>
      <c r="BY247" s="9"/>
      <c r="BZ247" s="9"/>
      <c r="CA247" s="9"/>
      <c r="CB247" s="9"/>
      <c r="CC247" s="9"/>
      <c r="CD247" s="9"/>
      <c r="CE247" s="9"/>
      <c r="CF247" s="9"/>
      <c r="CG247" s="9"/>
      <c r="CH247" s="9"/>
      <c r="CI247" s="9"/>
      <c r="CJ247" s="9"/>
      <c r="CK247" s="9"/>
      <c r="CL247" s="9"/>
      <c r="CM247" s="9"/>
      <c r="CN247" s="9"/>
      <c r="CO247" s="9"/>
      <c r="CP247" s="9"/>
      <c r="CQ247" s="9"/>
      <c r="CR247" s="9"/>
      <c r="CS247" s="9"/>
      <c r="CT247" s="9"/>
      <c r="CU247" s="9"/>
      <c r="CV247" s="9"/>
      <c r="CW247" s="9"/>
      <c r="CX247" s="9"/>
      <c r="CY247" s="9"/>
      <c r="CZ247" s="9"/>
      <c r="DA247" s="9"/>
      <c r="DB247" s="9"/>
    </row>
    <row r="248" spans="1:106" ht="9.9499999999999993" customHeight="1" x14ac:dyDescent="0.25">
      <c r="A248" s="7"/>
      <c r="B248" s="7"/>
      <c r="C248" s="8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9"/>
      <c r="BN248" s="9"/>
      <c r="BO248" s="9"/>
      <c r="BP248" s="9"/>
      <c r="BQ248" s="9"/>
      <c r="BR248" s="9"/>
      <c r="BS248" s="9"/>
      <c r="BT248" s="9"/>
      <c r="BU248" s="9"/>
      <c r="BV248" s="9"/>
      <c r="BW248" s="9"/>
      <c r="BX248" s="9"/>
      <c r="BY248" s="9"/>
      <c r="BZ248" s="9"/>
      <c r="CA248" s="9"/>
      <c r="CB248" s="9"/>
      <c r="CC248" s="9"/>
      <c r="CD248" s="9"/>
      <c r="CE248" s="9"/>
      <c r="CF248" s="9"/>
      <c r="CG248" s="9"/>
      <c r="CH248" s="9"/>
      <c r="CI248" s="9"/>
      <c r="CJ248" s="9"/>
      <c r="CK248" s="9"/>
      <c r="CL248" s="9"/>
      <c r="CM248" s="9"/>
      <c r="CN248" s="9"/>
      <c r="CO248" s="9"/>
      <c r="CP248" s="9"/>
      <c r="CQ248" s="9"/>
      <c r="CR248" s="9"/>
      <c r="CS248" s="9"/>
      <c r="CT248" s="9"/>
      <c r="CU248" s="9"/>
      <c r="CV248" s="9"/>
      <c r="CW248" s="9"/>
      <c r="CX248" s="9"/>
      <c r="CY248" s="9"/>
      <c r="CZ248" s="9"/>
      <c r="DA248" s="9"/>
      <c r="DB248" s="9"/>
    </row>
    <row r="249" spans="1:106" ht="9.9499999999999993" customHeight="1" x14ac:dyDescent="0.25">
      <c r="A249" s="7"/>
      <c r="B249" s="7"/>
      <c r="C249" s="8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9"/>
      <c r="BC249" s="9"/>
      <c r="BD249" s="9"/>
      <c r="BE249" s="9"/>
      <c r="BF249" s="9"/>
      <c r="BG249" s="9"/>
      <c r="BH249" s="9"/>
      <c r="BI249" s="9"/>
      <c r="BJ249" s="9"/>
      <c r="BK249" s="9"/>
      <c r="BL249" s="9"/>
      <c r="BM249" s="9"/>
      <c r="BN249" s="9"/>
      <c r="BO249" s="9"/>
      <c r="BP249" s="9"/>
      <c r="BQ249" s="9"/>
      <c r="BR249" s="9"/>
      <c r="BS249" s="9"/>
      <c r="BT249" s="9"/>
      <c r="BU249" s="9"/>
      <c r="BV249" s="9"/>
      <c r="BW249" s="9"/>
      <c r="BX249" s="9"/>
      <c r="BY249" s="9"/>
      <c r="BZ249" s="9"/>
      <c r="CA249" s="9"/>
      <c r="CB249" s="9"/>
      <c r="CC249" s="9"/>
      <c r="CD249" s="9"/>
      <c r="CE249" s="9"/>
      <c r="CF249" s="9"/>
      <c r="CG249" s="9"/>
      <c r="CH249" s="9"/>
      <c r="CI249" s="9"/>
      <c r="CJ249" s="9"/>
      <c r="CK249" s="9"/>
      <c r="CL249" s="9"/>
      <c r="CM249" s="9"/>
      <c r="CN249" s="9"/>
      <c r="CO249" s="9"/>
      <c r="CP249" s="9"/>
      <c r="CQ249" s="9"/>
      <c r="CR249" s="9"/>
      <c r="CS249" s="9"/>
      <c r="CT249" s="9"/>
      <c r="CU249" s="9"/>
      <c r="CV249" s="9"/>
      <c r="CW249" s="9"/>
      <c r="CX249" s="9"/>
      <c r="CY249" s="9"/>
      <c r="CZ249" s="9"/>
      <c r="DA249" s="9"/>
      <c r="DB249" s="9"/>
    </row>
    <row r="250" spans="1:106" ht="9.9499999999999993" customHeight="1" x14ac:dyDescent="0.25">
      <c r="A250" s="7"/>
      <c r="B250" s="7"/>
      <c r="C250" s="8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9"/>
      <c r="BC250" s="9"/>
      <c r="BD250" s="9"/>
      <c r="BE250" s="9"/>
      <c r="BF250" s="9"/>
      <c r="BG250" s="9"/>
      <c r="BH250" s="9"/>
      <c r="BI250" s="9"/>
      <c r="BJ250" s="9"/>
      <c r="BK250" s="9"/>
      <c r="BL250" s="9"/>
      <c r="BM250" s="9"/>
      <c r="BN250" s="9"/>
      <c r="BO250" s="9"/>
      <c r="BP250" s="9"/>
      <c r="BQ250" s="9"/>
      <c r="BR250" s="9"/>
      <c r="BS250" s="9"/>
      <c r="BT250" s="9"/>
      <c r="BU250" s="9"/>
      <c r="BV250" s="9"/>
      <c r="BW250" s="9"/>
      <c r="BX250" s="9"/>
      <c r="BY250" s="9"/>
      <c r="BZ250" s="9"/>
      <c r="CA250" s="9"/>
      <c r="CB250" s="9"/>
      <c r="CC250" s="9"/>
      <c r="CD250" s="9"/>
      <c r="CE250" s="9"/>
      <c r="CF250" s="9"/>
      <c r="CG250" s="9"/>
      <c r="CH250" s="9"/>
      <c r="CI250" s="9"/>
      <c r="CJ250" s="9"/>
      <c r="CK250" s="9"/>
      <c r="CL250" s="9"/>
      <c r="CM250" s="9"/>
      <c r="CN250" s="9"/>
      <c r="CO250" s="9"/>
      <c r="CP250" s="9"/>
      <c r="CQ250" s="9"/>
      <c r="CR250" s="9"/>
      <c r="CS250" s="9"/>
      <c r="CT250" s="9"/>
      <c r="CU250" s="9"/>
      <c r="CV250" s="9"/>
      <c r="CW250" s="9"/>
      <c r="CX250" s="9"/>
      <c r="CY250" s="9"/>
      <c r="CZ250" s="9"/>
      <c r="DA250" s="9"/>
      <c r="DB250" s="9"/>
    </row>
    <row r="251" spans="1:106" ht="9.9499999999999993" customHeight="1" x14ac:dyDescent="0.25">
      <c r="A251" s="7"/>
      <c r="B251" s="7"/>
      <c r="C251" s="8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9"/>
      <c r="BN251" s="9"/>
      <c r="BO251" s="9"/>
      <c r="BP251" s="9"/>
      <c r="BQ251" s="9"/>
      <c r="BR251" s="9"/>
      <c r="BS251" s="9"/>
      <c r="BT251" s="9"/>
      <c r="BU251" s="9"/>
      <c r="BV251" s="9"/>
      <c r="BW251" s="9"/>
      <c r="BX251" s="9"/>
      <c r="BY251" s="9"/>
      <c r="BZ251" s="9"/>
      <c r="CA251" s="9"/>
      <c r="CB251" s="9"/>
      <c r="CC251" s="9"/>
      <c r="CD251" s="9"/>
      <c r="CE251" s="9"/>
      <c r="CF251" s="9"/>
      <c r="CG251" s="9"/>
      <c r="CH251" s="9"/>
      <c r="CI251" s="9"/>
      <c r="CJ251" s="9"/>
      <c r="CK251" s="9"/>
      <c r="CL251" s="9"/>
      <c r="CM251" s="9"/>
      <c r="CN251" s="9"/>
      <c r="CO251" s="9"/>
      <c r="CP251" s="9"/>
      <c r="CQ251" s="9"/>
      <c r="CR251" s="9"/>
      <c r="CS251" s="9"/>
      <c r="CT251" s="9"/>
      <c r="CU251" s="9"/>
      <c r="CV251" s="9"/>
      <c r="CW251" s="9"/>
      <c r="CX251" s="9"/>
      <c r="CY251" s="9"/>
      <c r="CZ251" s="9"/>
      <c r="DA251" s="9"/>
      <c r="DB251" s="9"/>
    </row>
    <row r="252" spans="1:106" ht="9.9499999999999993" customHeight="1" x14ac:dyDescent="0.25">
      <c r="A252" s="7"/>
      <c r="B252" s="7"/>
      <c r="C252" s="8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9"/>
      <c r="BC252" s="9"/>
      <c r="BD252" s="9"/>
      <c r="BE252" s="9"/>
      <c r="BF252" s="9"/>
      <c r="BG252" s="9"/>
      <c r="BH252" s="9"/>
      <c r="BI252" s="9"/>
      <c r="BJ252" s="9"/>
      <c r="BK252" s="9"/>
      <c r="BL252" s="9"/>
      <c r="BM252" s="9"/>
      <c r="BN252" s="9"/>
      <c r="BO252" s="9"/>
      <c r="BP252" s="9"/>
      <c r="BQ252" s="9"/>
      <c r="BR252" s="9"/>
      <c r="BS252" s="9"/>
      <c r="BT252" s="9"/>
      <c r="BU252" s="9"/>
      <c r="BV252" s="9"/>
      <c r="BW252" s="9"/>
      <c r="BX252" s="9"/>
      <c r="BY252" s="9"/>
      <c r="BZ252" s="9"/>
      <c r="CA252" s="9"/>
      <c r="CB252" s="9"/>
      <c r="CC252" s="9"/>
      <c r="CD252" s="9"/>
      <c r="CE252" s="9"/>
      <c r="CF252" s="9"/>
      <c r="CG252" s="9"/>
      <c r="CH252" s="9"/>
      <c r="CI252" s="9"/>
      <c r="CJ252" s="9"/>
      <c r="CK252" s="9"/>
      <c r="CL252" s="9"/>
      <c r="CM252" s="9"/>
      <c r="CN252" s="9"/>
      <c r="CO252" s="9"/>
      <c r="CP252" s="9"/>
      <c r="CQ252" s="9"/>
      <c r="CR252" s="9"/>
      <c r="CS252" s="9"/>
      <c r="CT252" s="9"/>
      <c r="CU252" s="9"/>
      <c r="CV252" s="9"/>
      <c r="CW252" s="9"/>
      <c r="CX252" s="9"/>
      <c r="CY252" s="9"/>
      <c r="CZ252" s="9"/>
      <c r="DA252" s="9"/>
      <c r="DB252" s="9"/>
    </row>
    <row r="253" spans="1:106" ht="9.9499999999999993" customHeight="1" x14ac:dyDescent="0.25">
      <c r="A253" s="7"/>
      <c r="B253" s="7"/>
      <c r="C253" s="8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9"/>
      <c r="BC253" s="9"/>
      <c r="BD253" s="9"/>
      <c r="BE253" s="9"/>
      <c r="BF253" s="9"/>
      <c r="BG253" s="9"/>
      <c r="BH253" s="9"/>
      <c r="BI253" s="9"/>
      <c r="BJ253" s="9"/>
      <c r="BK253" s="9"/>
      <c r="BL253" s="9"/>
      <c r="BM253" s="9"/>
      <c r="BN253" s="9"/>
      <c r="BO253" s="9"/>
      <c r="BP253" s="9"/>
      <c r="BQ253" s="9"/>
      <c r="BR253" s="9"/>
      <c r="BS253" s="9"/>
      <c r="BT253" s="9"/>
      <c r="BU253" s="9"/>
      <c r="BV253" s="9"/>
      <c r="BW253" s="9"/>
      <c r="BX253" s="9"/>
      <c r="BY253" s="9"/>
      <c r="BZ253" s="9"/>
      <c r="CA253" s="9"/>
      <c r="CB253" s="9"/>
      <c r="CC253" s="9"/>
      <c r="CD253" s="9"/>
      <c r="CE253" s="9"/>
      <c r="CF253" s="9"/>
      <c r="CG253" s="9"/>
      <c r="CH253" s="9"/>
      <c r="CI253" s="9"/>
      <c r="CJ253" s="9"/>
      <c r="CK253" s="9"/>
      <c r="CL253" s="9"/>
      <c r="CM253" s="9"/>
      <c r="CN253" s="9"/>
      <c r="CO253" s="9"/>
      <c r="CP253" s="9"/>
      <c r="CQ253" s="9"/>
      <c r="CR253" s="9"/>
      <c r="CS253" s="9"/>
      <c r="CT253" s="9"/>
      <c r="CU253" s="9"/>
      <c r="CV253" s="9"/>
      <c r="CW253" s="9"/>
      <c r="CX253" s="9"/>
      <c r="CY253" s="9"/>
      <c r="CZ253" s="9"/>
      <c r="DA253" s="9"/>
      <c r="DB253" s="9"/>
    </row>
    <row r="254" spans="1:106" ht="9.9499999999999993" customHeight="1" x14ac:dyDescent="0.25">
      <c r="A254" s="7"/>
      <c r="B254" s="7"/>
      <c r="C254" s="8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9"/>
      <c r="BN254" s="9"/>
      <c r="BO254" s="9"/>
      <c r="BP254" s="9"/>
      <c r="BQ254" s="9"/>
      <c r="BR254" s="9"/>
      <c r="BS254" s="9"/>
      <c r="BT254" s="9"/>
      <c r="BU254" s="9"/>
      <c r="BV254" s="9"/>
      <c r="BW254" s="9"/>
      <c r="BX254" s="9"/>
      <c r="BY254" s="9"/>
      <c r="BZ254" s="9"/>
      <c r="CA254" s="9"/>
      <c r="CB254" s="9"/>
      <c r="CC254" s="9"/>
      <c r="CD254" s="9"/>
      <c r="CE254" s="9"/>
      <c r="CF254" s="9"/>
      <c r="CG254" s="9"/>
      <c r="CH254" s="9"/>
      <c r="CI254" s="9"/>
      <c r="CJ254" s="9"/>
      <c r="CK254" s="9"/>
      <c r="CL254" s="9"/>
      <c r="CM254" s="9"/>
      <c r="CN254" s="9"/>
      <c r="CO254" s="9"/>
      <c r="CP254" s="9"/>
      <c r="CQ254" s="9"/>
      <c r="CR254" s="9"/>
      <c r="CS254" s="9"/>
      <c r="CT254" s="9"/>
      <c r="CU254" s="9"/>
      <c r="CV254" s="9"/>
      <c r="CW254" s="9"/>
      <c r="CX254" s="9"/>
      <c r="CY254" s="9"/>
      <c r="CZ254" s="9"/>
      <c r="DA254" s="9"/>
      <c r="DB254" s="9"/>
    </row>
    <row r="255" spans="1:106" ht="9.9499999999999993" customHeight="1" x14ac:dyDescent="0.25">
      <c r="A255" s="7"/>
      <c r="B255" s="7"/>
      <c r="C255" s="8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9"/>
      <c r="BC255" s="9"/>
      <c r="BD255" s="9"/>
      <c r="BE255" s="9"/>
      <c r="BF255" s="9"/>
      <c r="BG255" s="9"/>
      <c r="BH255" s="9"/>
      <c r="BI255" s="9"/>
      <c r="BJ255" s="9"/>
      <c r="BK255" s="9"/>
      <c r="BL255" s="9"/>
      <c r="BM255" s="9"/>
      <c r="BN255" s="9"/>
      <c r="BO255" s="9"/>
      <c r="BP255" s="9"/>
      <c r="BQ255" s="9"/>
      <c r="BR255" s="9"/>
      <c r="BS255" s="9"/>
      <c r="BT255" s="9"/>
      <c r="BU255" s="9"/>
      <c r="BV255" s="9"/>
      <c r="BW255" s="9"/>
      <c r="BX255" s="9"/>
      <c r="BY255" s="9"/>
      <c r="BZ255" s="9"/>
      <c r="CA255" s="9"/>
      <c r="CB255" s="9"/>
      <c r="CC255" s="9"/>
      <c r="CD255" s="9"/>
      <c r="CE255" s="9"/>
      <c r="CF255" s="9"/>
      <c r="CG255" s="9"/>
      <c r="CH255" s="9"/>
      <c r="CI255" s="9"/>
      <c r="CJ255" s="9"/>
      <c r="CK255" s="9"/>
      <c r="CL255" s="9"/>
      <c r="CM255" s="9"/>
      <c r="CN255" s="9"/>
      <c r="CO255" s="9"/>
      <c r="CP255" s="9"/>
      <c r="CQ255" s="9"/>
      <c r="CR255" s="9"/>
      <c r="CS255" s="9"/>
      <c r="CT255" s="9"/>
      <c r="CU255" s="9"/>
      <c r="CV255" s="9"/>
      <c r="CW255" s="9"/>
      <c r="CX255" s="9"/>
      <c r="CY255" s="9"/>
      <c r="CZ255" s="9"/>
      <c r="DA255" s="9"/>
      <c r="DB255" s="9"/>
    </row>
    <row r="256" spans="1:106" ht="9.9499999999999993" customHeight="1" x14ac:dyDescent="0.25">
      <c r="A256" s="7"/>
      <c r="B256" s="7"/>
      <c r="C256" s="8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9"/>
      <c r="BC256" s="9"/>
      <c r="BD256" s="9"/>
      <c r="BE256" s="9"/>
      <c r="BF256" s="9"/>
      <c r="BG256" s="9"/>
      <c r="BH256" s="9"/>
      <c r="BI256" s="9"/>
      <c r="BJ256" s="9"/>
      <c r="BK256" s="9"/>
      <c r="BL256" s="9"/>
      <c r="BM256" s="9"/>
      <c r="BN256" s="9"/>
      <c r="BO256" s="9"/>
      <c r="BP256" s="9"/>
      <c r="BQ256" s="9"/>
      <c r="BR256" s="9"/>
      <c r="BS256" s="9"/>
      <c r="BT256" s="9"/>
      <c r="BU256" s="9"/>
      <c r="BV256" s="9"/>
      <c r="BW256" s="9"/>
      <c r="BX256" s="9"/>
      <c r="BY256" s="9"/>
      <c r="BZ256" s="9"/>
      <c r="CA256" s="9"/>
      <c r="CB256" s="9"/>
      <c r="CC256" s="9"/>
      <c r="CD256" s="9"/>
      <c r="CE256" s="9"/>
      <c r="CF256" s="9"/>
      <c r="CG256" s="9"/>
      <c r="CH256" s="9"/>
      <c r="CI256" s="9"/>
      <c r="CJ256" s="9"/>
      <c r="CK256" s="9"/>
      <c r="CL256" s="9"/>
      <c r="CM256" s="9"/>
      <c r="CN256" s="9"/>
      <c r="CO256" s="9"/>
      <c r="CP256" s="9"/>
      <c r="CQ256" s="9"/>
      <c r="CR256" s="9"/>
      <c r="CS256" s="9"/>
      <c r="CT256" s="9"/>
      <c r="CU256" s="9"/>
      <c r="CV256" s="9"/>
      <c r="CW256" s="9"/>
      <c r="CX256" s="9"/>
      <c r="CY256" s="9"/>
      <c r="CZ256" s="9"/>
      <c r="DA256" s="9"/>
      <c r="DB256" s="9"/>
    </row>
    <row r="257" spans="1:106" ht="9.9499999999999993" customHeight="1" x14ac:dyDescent="0.25">
      <c r="A257" s="7"/>
      <c r="B257" s="7"/>
      <c r="C257" s="8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9"/>
      <c r="BC257" s="9"/>
      <c r="BD257" s="9"/>
      <c r="BE257" s="9"/>
      <c r="BF257" s="9"/>
      <c r="BG257" s="9"/>
      <c r="BH257" s="9"/>
      <c r="BI257" s="9"/>
      <c r="BJ257" s="9"/>
      <c r="BK257" s="9"/>
      <c r="BL257" s="9"/>
      <c r="BM257" s="9"/>
      <c r="BN257" s="9"/>
      <c r="BO257" s="9"/>
      <c r="BP257" s="9"/>
      <c r="BQ257" s="9"/>
      <c r="BR257" s="9"/>
      <c r="BS257" s="9"/>
      <c r="BT257" s="9"/>
      <c r="BU257" s="9"/>
      <c r="BV257" s="9"/>
      <c r="BW257" s="9"/>
      <c r="BX257" s="9"/>
      <c r="BY257" s="9"/>
      <c r="BZ257" s="9"/>
      <c r="CA257" s="9"/>
      <c r="CB257" s="9"/>
      <c r="CC257" s="9"/>
      <c r="CD257" s="9"/>
      <c r="CE257" s="9"/>
      <c r="CF257" s="9"/>
      <c r="CG257" s="9"/>
      <c r="CH257" s="9"/>
      <c r="CI257" s="9"/>
      <c r="CJ257" s="9"/>
      <c r="CK257" s="9"/>
      <c r="CL257" s="9"/>
      <c r="CM257" s="9"/>
      <c r="CN257" s="9"/>
      <c r="CO257" s="9"/>
      <c r="CP257" s="9"/>
      <c r="CQ257" s="9"/>
      <c r="CR257" s="9"/>
      <c r="CS257" s="9"/>
      <c r="CT257" s="9"/>
      <c r="CU257" s="9"/>
      <c r="CV257" s="9"/>
      <c r="CW257" s="9"/>
      <c r="CX257" s="9"/>
      <c r="CY257" s="9"/>
      <c r="CZ257" s="9"/>
      <c r="DA257" s="9"/>
      <c r="DB257" s="9"/>
    </row>
    <row r="258" spans="1:106" ht="9.9499999999999993" customHeight="1" x14ac:dyDescent="0.25">
      <c r="A258" s="7"/>
      <c r="B258" s="7"/>
      <c r="C258" s="8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9"/>
      <c r="BC258" s="9"/>
      <c r="BD258" s="9"/>
      <c r="BE258" s="9"/>
      <c r="BF258" s="9"/>
      <c r="BG258" s="9"/>
      <c r="BH258" s="9"/>
      <c r="BI258" s="9"/>
      <c r="BJ258" s="9"/>
      <c r="BK258" s="9"/>
      <c r="BL258" s="9"/>
      <c r="BM258" s="9"/>
      <c r="BN258" s="9"/>
      <c r="BO258" s="9"/>
      <c r="BP258" s="9"/>
      <c r="BQ258" s="9"/>
      <c r="BR258" s="9"/>
      <c r="BS258" s="9"/>
      <c r="BT258" s="9"/>
      <c r="BU258" s="9"/>
      <c r="BV258" s="9"/>
      <c r="BW258" s="9"/>
      <c r="BX258" s="9"/>
      <c r="BY258" s="9"/>
      <c r="BZ258" s="9"/>
      <c r="CA258" s="9"/>
      <c r="CB258" s="9"/>
      <c r="CC258" s="9"/>
      <c r="CD258" s="9"/>
      <c r="CE258" s="9"/>
      <c r="CF258" s="9"/>
      <c r="CG258" s="9"/>
      <c r="CH258" s="9"/>
      <c r="CI258" s="9"/>
      <c r="CJ258" s="9"/>
      <c r="CK258" s="9"/>
      <c r="CL258" s="9"/>
      <c r="CM258" s="9"/>
      <c r="CN258" s="9"/>
      <c r="CO258" s="9"/>
      <c r="CP258" s="9"/>
      <c r="CQ258" s="9"/>
      <c r="CR258" s="9"/>
      <c r="CS258" s="9"/>
      <c r="CT258" s="9"/>
      <c r="CU258" s="9"/>
      <c r="CV258" s="9"/>
      <c r="CW258" s="9"/>
      <c r="CX258" s="9"/>
      <c r="CY258" s="9"/>
      <c r="CZ258" s="9"/>
      <c r="DA258" s="9"/>
      <c r="DB258" s="9"/>
    </row>
    <row r="259" spans="1:106" ht="9.9499999999999993" customHeight="1" x14ac:dyDescent="0.25">
      <c r="A259" s="7"/>
      <c r="B259" s="7"/>
      <c r="C259" s="8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9"/>
      <c r="BC259" s="9"/>
      <c r="BD259" s="9"/>
      <c r="BE259" s="9"/>
      <c r="BF259" s="9"/>
      <c r="BG259" s="9"/>
      <c r="BH259" s="9"/>
      <c r="BI259" s="9"/>
      <c r="BJ259" s="9"/>
      <c r="BK259" s="9"/>
      <c r="BL259" s="9"/>
      <c r="BM259" s="9"/>
      <c r="BN259" s="9"/>
      <c r="BO259" s="9"/>
      <c r="BP259" s="9"/>
      <c r="BQ259" s="9"/>
      <c r="BR259" s="9"/>
      <c r="BS259" s="9"/>
      <c r="BT259" s="9"/>
      <c r="BU259" s="9"/>
      <c r="BV259" s="9"/>
      <c r="BW259" s="9"/>
      <c r="BX259" s="9"/>
      <c r="BY259" s="9"/>
      <c r="BZ259" s="9"/>
      <c r="CA259" s="9"/>
      <c r="CB259" s="9"/>
      <c r="CC259" s="9"/>
      <c r="CD259" s="9"/>
      <c r="CE259" s="9"/>
      <c r="CF259" s="9"/>
      <c r="CG259" s="9"/>
      <c r="CH259" s="9"/>
      <c r="CI259" s="9"/>
      <c r="CJ259" s="9"/>
      <c r="CK259" s="9"/>
      <c r="CL259" s="9"/>
      <c r="CM259" s="9"/>
      <c r="CN259" s="9"/>
      <c r="CO259" s="9"/>
      <c r="CP259" s="9"/>
      <c r="CQ259" s="9"/>
      <c r="CR259" s="9"/>
      <c r="CS259" s="9"/>
      <c r="CT259" s="9"/>
      <c r="CU259" s="9"/>
      <c r="CV259" s="9"/>
      <c r="CW259" s="9"/>
      <c r="CX259" s="9"/>
      <c r="CY259" s="9"/>
      <c r="CZ259" s="9"/>
      <c r="DA259" s="9"/>
      <c r="DB259" s="9"/>
    </row>
    <row r="260" spans="1:106" ht="9.9499999999999993" customHeight="1" x14ac:dyDescent="0.25">
      <c r="A260" s="7"/>
      <c r="B260" s="7"/>
      <c r="C260" s="8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9"/>
      <c r="BC260" s="9"/>
      <c r="BD260" s="9"/>
      <c r="BE260" s="9"/>
      <c r="BF260" s="9"/>
      <c r="BG260" s="9"/>
      <c r="BH260" s="9"/>
      <c r="BI260" s="9"/>
      <c r="BJ260" s="9"/>
      <c r="BK260" s="9"/>
      <c r="BL260" s="9"/>
      <c r="BM260" s="9"/>
      <c r="BN260" s="9"/>
      <c r="BO260" s="9"/>
      <c r="BP260" s="9"/>
      <c r="BQ260" s="9"/>
      <c r="BR260" s="9"/>
      <c r="BS260" s="9"/>
      <c r="BT260" s="9"/>
      <c r="BU260" s="9"/>
      <c r="BV260" s="9"/>
      <c r="BW260" s="9"/>
      <c r="BX260" s="9"/>
      <c r="BY260" s="9"/>
      <c r="BZ260" s="9"/>
      <c r="CA260" s="9"/>
      <c r="CB260" s="9"/>
      <c r="CC260" s="9"/>
      <c r="CD260" s="9"/>
      <c r="CE260" s="9"/>
      <c r="CF260" s="9"/>
      <c r="CG260" s="9"/>
      <c r="CH260" s="9"/>
      <c r="CI260" s="9"/>
      <c r="CJ260" s="9"/>
      <c r="CK260" s="9"/>
      <c r="CL260" s="9"/>
      <c r="CM260" s="9"/>
      <c r="CN260" s="9"/>
      <c r="CO260" s="9"/>
      <c r="CP260" s="9"/>
      <c r="CQ260" s="9"/>
      <c r="CR260" s="9"/>
      <c r="CS260" s="9"/>
      <c r="CT260" s="9"/>
      <c r="CU260" s="9"/>
      <c r="CV260" s="9"/>
      <c r="CW260" s="9"/>
      <c r="CX260" s="9"/>
      <c r="CY260" s="9"/>
      <c r="CZ260" s="9"/>
      <c r="DA260" s="9"/>
      <c r="DB260" s="9"/>
    </row>
    <row r="261" spans="1:106" ht="9.9499999999999993" customHeight="1" x14ac:dyDescent="0.25">
      <c r="A261" s="7"/>
      <c r="B261" s="7"/>
      <c r="C261" s="8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9"/>
      <c r="BC261" s="9"/>
      <c r="BD261" s="9"/>
      <c r="BE261" s="9"/>
      <c r="BF261" s="9"/>
      <c r="BG261" s="9"/>
      <c r="BH261" s="9"/>
      <c r="BI261" s="9"/>
      <c r="BJ261" s="9"/>
      <c r="BK261" s="9"/>
      <c r="BL261" s="9"/>
      <c r="BM261" s="9"/>
      <c r="BN261" s="9"/>
      <c r="BO261" s="9"/>
      <c r="BP261" s="9"/>
      <c r="BQ261" s="9"/>
      <c r="BR261" s="9"/>
      <c r="BS261" s="9"/>
      <c r="BT261" s="9"/>
      <c r="BU261" s="9"/>
      <c r="BV261" s="9"/>
      <c r="BW261" s="9"/>
      <c r="BX261" s="9"/>
      <c r="BY261" s="9"/>
      <c r="BZ261" s="9"/>
      <c r="CA261" s="9"/>
      <c r="CB261" s="9"/>
      <c r="CC261" s="9"/>
      <c r="CD261" s="9"/>
      <c r="CE261" s="9"/>
      <c r="CF261" s="9"/>
      <c r="CG261" s="9"/>
      <c r="CH261" s="9"/>
      <c r="CI261" s="9"/>
      <c r="CJ261" s="9"/>
      <c r="CK261" s="9"/>
      <c r="CL261" s="9"/>
      <c r="CM261" s="9"/>
      <c r="CN261" s="9"/>
      <c r="CO261" s="9"/>
      <c r="CP261" s="9"/>
      <c r="CQ261" s="9"/>
      <c r="CR261" s="9"/>
      <c r="CS261" s="9"/>
      <c r="CT261" s="9"/>
      <c r="CU261" s="9"/>
      <c r="CV261" s="9"/>
      <c r="CW261" s="9"/>
      <c r="CX261" s="9"/>
      <c r="CY261" s="9"/>
      <c r="CZ261" s="9"/>
      <c r="DA261" s="9"/>
      <c r="DB261" s="9"/>
    </row>
    <row r="262" spans="1:106" ht="9.9499999999999993" customHeight="1" x14ac:dyDescent="0.25">
      <c r="A262" s="7"/>
      <c r="B262" s="7"/>
      <c r="C262" s="8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9"/>
      <c r="BC262" s="9"/>
      <c r="BD262" s="9"/>
      <c r="BE262" s="9"/>
      <c r="BF262" s="9"/>
      <c r="BG262" s="9"/>
      <c r="BH262" s="9"/>
      <c r="BI262" s="9"/>
      <c r="BJ262" s="9"/>
      <c r="BK262" s="9"/>
      <c r="BL262" s="9"/>
      <c r="BM262" s="9"/>
      <c r="BN262" s="9"/>
      <c r="BO262" s="9"/>
      <c r="BP262" s="9"/>
      <c r="BQ262" s="9"/>
      <c r="BR262" s="9"/>
      <c r="BS262" s="9"/>
      <c r="BT262" s="9"/>
      <c r="BU262" s="9"/>
      <c r="BV262" s="9"/>
      <c r="BW262" s="9"/>
      <c r="BX262" s="9"/>
      <c r="BY262" s="9"/>
      <c r="BZ262" s="9"/>
      <c r="CA262" s="9"/>
      <c r="CB262" s="9"/>
      <c r="CC262" s="9"/>
      <c r="CD262" s="9"/>
      <c r="CE262" s="9"/>
      <c r="CF262" s="9"/>
      <c r="CG262" s="9"/>
      <c r="CH262" s="9"/>
      <c r="CI262" s="9"/>
      <c r="CJ262" s="9"/>
      <c r="CK262" s="9"/>
      <c r="CL262" s="9"/>
      <c r="CM262" s="9"/>
      <c r="CN262" s="9"/>
      <c r="CO262" s="9"/>
      <c r="CP262" s="9"/>
      <c r="CQ262" s="9"/>
      <c r="CR262" s="9"/>
      <c r="CS262" s="9"/>
      <c r="CT262" s="9"/>
      <c r="CU262" s="9"/>
      <c r="CV262" s="9"/>
      <c r="CW262" s="9"/>
      <c r="CX262" s="9"/>
      <c r="CY262" s="9"/>
      <c r="CZ262" s="9"/>
      <c r="DA262" s="9"/>
      <c r="DB262" s="9"/>
    </row>
    <row r="263" spans="1:106" ht="9.9499999999999993" customHeight="1" x14ac:dyDescent="0.25">
      <c r="A263" s="7"/>
      <c r="B263" s="7"/>
      <c r="C263" s="8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9"/>
      <c r="BC263" s="9"/>
      <c r="BD263" s="9"/>
      <c r="BE263" s="9"/>
      <c r="BF263" s="9"/>
      <c r="BG263" s="9"/>
      <c r="BH263" s="9"/>
      <c r="BI263" s="9"/>
      <c r="BJ263" s="9"/>
      <c r="BK263" s="9"/>
      <c r="BL263" s="9"/>
      <c r="BM263" s="9"/>
      <c r="BN263" s="9"/>
      <c r="BO263" s="9"/>
      <c r="BP263" s="9"/>
      <c r="BQ263" s="9"/>
      <c r="BR263" s="9"/>
      <c r="BS263" s="9"/>
      <c r="BT263" s="9"/>
      <c r="BU263" s="9"/>
      <c r="BV263" s="9"/>
      <c r="BW263" s="9"/>
      <c r="BX263" s="9"/>
      <c r="BY263" s="9"/>
      <c r="BZ263" s="9"/>
      <c r="CA263" s="9"/>
      <c r="CB263" s="9"/>
      <c r="CC263" s="9"/>
      <c r="CD263" s="9"/>
      <c r="CE263" s="9"/>
      <c r="CF263" s="9"/>
      <c r="CG263" s="9"/>
      <c r="CH263" s="9"/>
      <c r="CI263" s="9"/>
      <c r="CJ263" s="9"/>
      <c r="CK263" s="9"/>
      <c r="CL263" s="9"/>
      <c r="CM263" s="9"/>
      <c r="CN263" s="9"/>
      <c r="CO263" s="9"/>
      <c r="CP263" s="9"/>
      <c r="CQ263" s="9"/>
      <c r="CR263" s="9"/>
      <c r="CS263" s="9"/>
      <c r="CT263" s="9"/>
      <c r="CU263" s="9"/>
      <c r="CV263" s="9"/>
      <c r="CW263" s="9"/>
      <c r="CX263" s="9"/>
      <c r="CY263" s="9"/>
      <c r="CZ263" s="9"/>
      <c r="DA263" s="9"/>
      <c r="DB263" s="9"/>
    </row>
    <row r="264" spans="1:106" ht="9.9499999999999993" customHeight="1" x14ac:dyDescent="0.25">
      <c r="A264" s="7"/>
      <c r="B264" s="7"/>
      <c r="C264" s="8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9"/>
      <c r="BC264" s="9"/>
      <c r="BD264" s="9"/>
      <c r="BE264" s="9"/>
      <c r="BF264" s="9"/>
      <c r="BG264" s="9"/>
      <c r="BH264" s="9"/>
      <c r="BI264" s="9"/>
      <c r="BJ264" s="9"/>
      <c r="BK264" s="9"/>
      <c r="BL264" s="9"/>
      <c r="BM264" s="9"/>
      <c r="BN264" s="9"/>
      <c r="BO264" s="9"/>
      <c r="BP264" s="9"/>
      <c r="BQ264" s="9"/>
      <c r="BR264" s="9"/>
      <c r="BS264" s="9"/>
      <c r="BT264" s="9"/>
      <c r="BU264" s="9"/>
      <c r="BV264" s="9"/>
      <c r="BW264" s="9"/>
      <c r="BX264" s="9"/>
      <c r="BY264" s="9"/>
      <c r="BZ264" s="9"/>
      <c r="CA264" s="9"/>
      <c r="CB264" s="9"/>
      <c r="CC264" s="9"/>
      <c r="CD264" s="9"/>
      <c r="CE264" s="9"/>
      <c r="CF264" s="9"/>
      <c r="CG264" s="9"/>
      <c r="CH264" s="9"/>
      <c r="CI264" s="9"/>
      <c r="CJ264" s="9"/>
      <c r="CK264" s="9"/>
      <c r="CL264" s="9"/>
      <c r="CM264" s="9"/>
      <c r="CN264" s="9"/>
      <c r="CO264" s="9"/>
      <c r="CP264" s="9"/>
      <c r="CQ264" s="9"/>
      <c r="CR264" s="9"/>
      <c r="CS264" s="9"/>
      <c r="CT264" s="9"/>
      <c r="CU264" s="9"/>
      <c r="CV264" s="9"/>
      <c r="CW264" s="9"/>
      <c r="CX264" s="9"/>
      <c r="CY264" s="9"/>
      <c r="CZ264" s="9"/>
      <c r="DA264" s="9"/>
      <c r="DB264" s="9"/>
    </row>
    <row r="265" spans="1:106" ht="9.9499999999999993" customHeight="1" x14ac:dyDescent="0.25">
      <c r="A265" s="7"/>
      <c r="B265" s="7"/>
      <c r="C265" s="8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9"/>
      <c r="BC265" s="9"/>
      <c r="BD265" s="9"/>
      <c r="BE265" s="9"/>
      <c r="BF265" s="9"/>
      <c r="BG265" s="9"/>
      <c r="BH265" s="9"/>
      <c r="BI265" s="9"/>
      <c r="BJ265" s="9"/>
      <c r="BK265" s="9"/>
      <c r="BL265" s="9"/>
      <c r="BM265" s="9"/>
      <c r="BN265" s="9"/>
      <c r="BO265" s="9"/>
      <c r="BP265" s="9"/>
      <c r="BQ265" s="9"/>
      <c r="BR265" s="9"/>
      <c r="BS265" s="9"/>
      <c r="BT265" s="9"/>
      <c r="BU265" s="9"/>
      <c r="BV265" s="9"/>
      <c r="BW265" s="9"/>
      <c r="BX265" s="9"/>
      <c r="BY265" s="9"/>
      <c r="BZ265" s="9"/>
      <c r="CA265" s="9"/>
      <c r="CB265" s="9"/>
      <c r="CC265" s="9"/>
      <c r="CD265" s="9"/>
      <c r="CE265" s="9"/>
      <c r="CF265" s="9"/>
      <c r="CG265" s="9"/>
      <c r="CH265" s="9"/>
      <c r="CI265" s="9"/>
      <c r="CJ265" s="9"/>
      <c r="CK265" s="9"/>
      <c r="CL265" s="9"/>
      <c r="CM265" s="9"/>
      <c r="CN265" s="9"/>
      <c r="CO265" s="9"/>
      <c r="CP265" s="9"/>
      <c r="CQ265" s="9"/>
      <c r="CR265" s="9"/>
      <c r="CS265" s="9"/>
      <c r="CT265" s="9"/>
      <c r="CU265" s="9"/>
      <c r="CV265" s="9"/>
      <c r="CW265" s="9"/>
      <c r="CX265" s="9"/>
      <c r="CY265" s="9"/>
      <c r="CZ265" s="9"/>
      <c r="DA265" s="9"/>
      <c r="DB265" s="9"/>
    </row>
    <row r="266" spans="1:106" ht="9.9499999999999993" customHeight="1" x14ac:dyDescent="0.25">
      <c r="A266" s="7"/>
      <c r="B266" s="7"/>
      <c r="C266" s="8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9"/>
      <c r="BC266" s="9"/>
      <c r="BD266" s="9"/>
      <c r="BE266" s="9"/>
      <c r="BF266" s="9"/>
      <c r="BG266" s="9"/>
      <c r="BH266" s="9"/>
      <c r="BI266" s="9"/>
      <c r="BJ266" s="9"/>
      <c r="BK266" s="9"/>
      <c r="BL266" s="9"/>
      <c r="BM266" s="9"/>
      <c r="BN266" s="9"/>
      <c r="BO266" s="9"/>
      <c r="BP266" s="9"/>
      <c r="BQ266" s="9"/>
      <c r="BR266" s="9"/>
      <c r="BS266" s="9"/>
      <c r="BT266" s="9"/>
      <c r="BU266" s="9"/>
      <c r="BV266" s="9"/>
      <c r="BW266" s="9"/>
      <c r="BX266" s="9"/>
      <c r="BY266" s="9"/>
      <c r="BZ266" s="9"/>
      <c r="CA266" s="9"/>
      <c r="CB266" s="9"/>
      <c r="CC266" s="9"/>
      <c r="CD266" s="9"/>
      <c r="CE266" s="9"/>
      <c r="CF266" s="9"/>
      <c r="CG266" s="9"/>
      <c r="CH266" s="9"/>
      <c r="CI266" s="9"/>
      <c r="CJ266" s="9"/>
      <c r="CK266" s="9"/>
      <c r="CL266" s="9"/>
      <c r="CM266" s="9"/>
      <c r="CN266" s="9"/>
      <c r="CO266" s="9"/>
      <c r="CP266" s="9"/>
      <c r="CQ266" s="9"/>
      <c r="CR266" s="9"/>
      <c r="CS266" s="9"/>
      <c r="CT266" s="9"/>
      <c r="CU266" s="9"/>
      <c r="CV266" s="9"/>
      <c r="CW266" s="9"/>
      <c r="CX266" s="9"/>
      <c r="CY266" s="9"/>
      <c r="CZ266" s="9"/>
      <c r="DA266" s="9"/>
      <c r="DB266" s="9"/>
    </row>
    <row r="267" spans="1:106" ht="9.9499999999999993" customHeight="1" x14ac:dyDescent="0.25">
      <c r="A267" s="7"/>
      <c r="B267" s="7"/>
      <c r="C267" s="8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9"/>
      <c r="BC267" s="9"/>
      <c r="BD267" s="9"/>
      <c r="BE267" s="9"/>
      <c r="BF267" s="9"/>
      <c r="BG267" s="9"/>
      <c r="BH267" s="9"/>
      <c r="BI267" s="9"/>
      <c r="BJ267" s="9"/>
      <c r="BK267" s="9"/>
      <c r="BL267" s="9"/>
      <c r="BM267" s="9"/>
      <c r="BN267" s="9"/>
      <c r="BO267" s="9"/>
      <c r="BP267" s="9"/>
      <c r="BQ267" s="9"/>
      <c r="BR267" s="9"/>
      <c r="BS267" s="9"/>
      <c r="BT267" s="9"/>
      <c r="BU267" s="9"/>
      <c r="BV267" s="9"/>
      <c r="BW267" s="9"/>
      <c r="BX267" s="9"/>
      <c r="BY267" s="9"/>
      <c r="BZ267" s="9"/>
      <c r="CA267" s="9"/>
      <c r="CB267" s="9"/>
      <c r="CC267" s="9"/>
      <c r="CD267" s="9"/>
      <c r="CE267" s="9"/>
      <c r="CF267" s="9"/>
      <c r="CG267" s="9"/>
      <c r="CH267" s="9"/>
      <c r="CI267" s="9"/>
      <c r="CJ267" s="9"/>
      <c r="CK267" s="9"/>
      <c r="CL267" s="9"/>
      <c r="CM267" s="9"/>
      <c r="CN267" s="9"/>
      <c r="CO267" s="9"/>
      <c r="CP267" s="9"/>
      <c r="CQ267" s="9"/>
      <c r="CR267" s="9"/>
      <c r="CS267" s="9"/>
      <c r="CT267" s="9"/>
      <c r="CU267" s="9"/>
      <c r="CV267" s="9"/>
      <c r="CW267" s="9"/>
      <c r="CX267" s="9"/>
      <c r="CY267" s="9"/>
      <c r="CZ267" s="9"/>
      <c r="DA267" s="9"/>
      <c r="DB267" s="9"/>
    </row>
    <row r="268" spans="1:106" ht="9.9499999999999993" customHeight="1" x14ac:dyDescent="0.25">
      <c r="A268" s="7"/>
      <c r="B268" s="7"/>
      <c r="C268" s="8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9"/>
      <c r="BC268" s="9"/>
      <c r="BD268" s="9"/>
      <c r="BE268" s="9"/>
      <c r="BF268" s="9"/>
      <c r="BG268" s="9"/>
      <c r="BH268" s="9"/>
      <c r="BI268" s="9"/>
      <c r="BJ268" s="9"/>
      <c r="BK268" s="9"/>
      <c r="BL268" s="9"/>
      <c r="BM268" s="9"/>
      <c r="BN268" s="9"/>
      <c r="BO268" s="9"/>
      <c r="BP268" s="9"/>
      <c r="BQ268" s="9"/>
      <c r="BR268" s="9"/>
      <c r="BS268" s="9"/>
      <c r="BT268" s="9"/>
      <c r="BU268" s="9"/>
      <c r="BV268" s="9"/>
      <c r="BW268" s="9"/>
      <c r="BX268" s="9"/>
      <c r="BY268" s="9"/>
      <c r="BZ268" s="9"/>
      <c r="CA268" s="9"/>
      <c r="CB268" s="9"/>
      <c r="CC268" s="9"/>
      <c r="CD268" s="9"/>
      <c r="CE268" s="9"/>
      <c r="CF268" s="9"/>
      <c r="CG268" s="9"/>
      <c r="CH268" s="9"/>
      <c r="CI268" s="9"/>
      <c r="CJ268" s="9"/>
      <c r="CK268" s="9"/>
      <c r="CL268" s="9"/>
      <c r="CM268" s="9"/>
      <c r="CN268" s="9"/>
      <c r="CO268" s="9"/>
      <c r="CP268" s="9"/>
      <c r="CQ268" s="9"/>
      <c r="CR268" s="9"/>
      <c r="CS268" s="9"/>
      <c r="CT268" s="9"/>
      <c r="CU268" s="9"/>
      <c r="CV268" s="9"/>
      <c r="CW268" s="9"/>
      <c r="CX268" s="9"/>
      <c r="CY268" s="9"/>
      <c r="CZ268" s="9"/>
      <c r="DA268" s="9"/>
      <c r="DB268" s="9"/>
    </row>
    <row r="269" spans="1:106" ht="9.9499999999999993" customHeight="1" x14ac:dyDescent="0.25">
      <c r="A269" s="7"/>
      <c r="B269" s="7"/>
      <c r="C269" s="8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9"/>
      <c r="BC269" s="9"/>
      <c r="BD269" s="9"/>
      <c r="BE269" s="9"/>
      <c r="BF269" s="9"/>
      <c r="BG269" s="9"/>
      <c r="BH269" s="9"/>
      <c r="BI269" s="9"/>
      <c r="BJ269" s="9"/>
      <c r="BK269" s="9"/>
      <c r="BL269" s="9"/>
      <c r="BM269" s="9"/>
      <c r="BN269" s="9"/>
      <c r="BO269" s="9"/>
      <c r="BP269" s="9"/>
      <c r="BQ269" s="9"/>
      <c r="BR269" s="9"/>
      <c r="BS269" s="9"/>
      <c r="BT269" s="9"/>
      <c r="BU269" s="9"/>
      <c r="BV269" s="9"/>
      <c r="BW269" s="9"/>
      <c r="BX269" s="9"/>
      <c r="BY269" s="9"/>
      <c r="BZ269" s="9"/>
      <c r="CA269" s="9"/>
      <c r="CB269" s="9"/>
      <c r="CC269" s="9"/>
      <c r="CD269" s="9"/>
      <c r="CE269" s="9"/>
      <c r="CF269" s="9"/>
      <c r="CG269" s="9"/>
      <c r="CH269" s="9"/>
      <c r="CI269" s="9"/>
      <c r="CJ269" s="9"/>
      <c r="CK269" s="9"/>
      <c r="CL269" s="9"/>
      <c r="CM269" s="9"/>
      <c r="CN269" s="9"/>
      <c r="CO269" s="9"/>
      <c r="CP269" s="9"/>
      <c r="CQ269" s="9"/>
      <c r="CR269" s="9"/>
      <c r="CS269" s="9"/>
      <c r="CT269" s="9"/>
      <c r="CU269" s="9"/>
      <c r="CV269" s="9"/>
      <c r="CW269" s="9"/>
      <c r="CX269" s="9"/>
      <c r="CY269" s="9"/>
      <c r="CZ269" s="9"/>
      <c r="DA269" s="9"/>
      <c r="DB269" s="9"/>
    </row>
    <row r="270" spans="1:106" ht="9.9499999999999993" customHeight="1" x14ac:dyDescent="0.25">
      <c r="A270" s="7"/>
      <c r="B270" s="7"/>
      <c r="C270" s="8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9"/>
      <c r="BC270" s="9"/>
      <c r="BD270" s="9"/>
      <c r="BE270" s="9"/>
      <c r="BF270" s="9"/>
      <c r="BG270" s="9"/>
      <c r="BH270" s="9"/>
      <c r="BI270" s="9"/>
      <c r="BJ270" s="9"/>
      <c r="BK270" s="9"/>
      <c r="BL270" s="9"/>
      <c r="BM270" s="9"/>
      <c r="BN270" s="9"/>
      <c r="BO270" s="9"/>
      <c r="BP270" s="9"/>
      <c r="BQ270" s="9"/>
      <c r="BR270" s="9"/>
      <c r="BS270" s="9"/>
      <c r="BT270" s="9"/>
      <c r="BU270" s="9"/>
      <c r="BV270" s="9"/>
      <c r="BW270" s="9"/>
      <c r="BX270" s="9"/>
      <c r="BY270" s="9"/>
      <c r="BZ270" s="9"/>
      <c r="CA270" s="9"/>
      <c r="CB270" s="9"/>
      <c r="CC270" s="9"/>
      <c r="CD270" s="9"/>
      <c r="CE270" s="9"/>
      <c r="CF270" s="9"/>
      <c r="CG270" s="9"/>
      <c r="CH270" s="9"/>
      <c r="CI270" s="9"/>
      <c r="CJ270" s="9"/>
      <c r="CK270" s="9"/>
      <c r="CL270" s="9"/>
      <c r="CM270" s="9"/>
      <c r="CN270" s="9"/>
      <c r="CO270" s="9"/>
      <c r="CP270" s="9"/>
      <c r="CQ270" s="9"/>
      <c r="CR270" s="9"/>
      <c r="CS270" s="9"/>
      <c r="CT270" s="9"/>
      <c r="CU270" s="9"/>
      <c r="CV270" s="9"/>
      <c r="CW270" s="9"/>
      <c r="CX270" s="9"/>
      <c r="CY270" s="9"/>
      <c r="CZ270" s="9"/>
      <c r="DA270" s="9"/>
      <c r="DB270" s="9"/>
    </row>
    <row r="271" spans="1:106" ht="9.9499999999999993" customHeight="1" x14ac:dyDescent="0.25">
      <c r="A271" s="7"/>
      <c r="B271" s="7"/>
      <c r="C271" s="8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9"/>
      <c r="BC271" s="9"/>
      <c r="BD271" s="9"/>
      <c r="BE271" s="9"/>
      <c r="BF271" s="9"/>
      <c r="BG271" s="9"/>
      <c r="BH271" s="9"/>
      <c r="BI271" s="9"/>
      <c r="BJ271" s="9"/>
      <c r="BK271" s="9"/>
      <c r="BL271" s="9"/>
      <c r="BM271" s="9"/>
      <c r="BN271" s="9"/>
      <c r="BO271" s="9"/>
      <c r="BP271" s="9"/>
      <c r="BQ271" s="9"/>
      <c r="BR271" s="9"/>
      <c r="BS271" s="9"/>
      <c r="BT271" s="9"/>
      <c r="BU271" s="9"/>
      <c r="BV271" s="9"/>
      <c r="BW271" s="9"/>
      <c r="BX271" s="9"/>
      <c r="BY271" s="9"/>
      <c r="BZ271" s="9"/>
      <c r="CA271" s="9"/>
      <c r="CB271" s="9"/>
      <c r="CC271" s="9"/>
      <c r="CD271" s="9"/>
      <c r="CE271" s="9"/>
      <c r="CF271" s="9"/>
      <c r="CG271" s="9"/>
      <c r="CH271" s="9"/>
      <c r="CI271" s="9"/>
      <c r="CJ271" s="9"/>
      <c r="CK271" s="9"/>
      <c r="CL271" s="9"/>
      <c r="CM271" s="9"/>
      <c r="CN271" s="9"/>
      <c r="CO271" s="9"/>
      <c r="CP271" s="9"/>
      <c r="CQ271" s="9"/>
      <c r="CR271" s="9"/>
      <c r="CS271" s="9"/>
      <c r="CT271" s="9"/>
      <c r="CU271" s="9"/>
      <c r="CV271" s="9"/>
      <c r="CW271" s="9"/>
      <c r="CX271" s="9"/>
      <c r="CY271" s="9"/>
      <c r="CZ271" s="9"/>
      <c r="DA271" s="9"/>
      <c r="DB271" s="9"/>
    </row>
    <row r="272" spans="1:106" ht="9.9499999999999993" customHeight="1" x14ac:dyDescent="0.25">
      <c r="A272" s="7"/>
      <c r="B272" s="7"/>
      <c r="C272" s="8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9"/>
      <c r="BC272" s="9"/>
      <c r="BD272" s="9"/>
      <c r="BE272" s="9"/>
      <c r="BF272" s="9"/>
      <c r="BG272" s="9"/>
      <c r="BH272" s="9"/>
      <c r="BI272" s="9"/>
      <c r="BJ272" s="9"/>
      <c r="BK272" s="9"/>
      <c r="BL272" s="9"/>
      <c r="BM272" s="9"/>
      <c r="BN272" s="9"/>
      <c r="BO272" s="9"/>
      <c r="BP272" s="9"/>
      <c r="BQ272" s="9"/>
      <c r="BR272" s="9"/>
      <c r="BS272" s="9"/>
      <c r="BT272" s="9"/>
      <c r="BU272" s="9"/>
      <c r="BV272" s="9"/>
      <c r="BW272" s="9"/>
      <c r="BX272" s="9"/>
      <c r="BY272" s="9"/>
      <c r="BZ272" s="9"/>
      <c r="CA272" s="9"/>
      <c r="CB272" s="9"/>
      <c r="CC272" s="9"/>
      <c r="CD272" s="9"/>
      <c r="CE272" s="9"/>
      <c r="CF272" s="9"/>
      <c r="CG272" s="9"/>
      <c r="CH272" s="9"/>
      <c r="CI272" s="9"/>
      <c r="CJ272" s="9"/>
      <c r="CK272" s="9"/>
      <c r="CL272" s="9"/>
      <c r="CM272" s="9"/>
      <c r="CN272" s="9"/>
      <c r="CO272" s="9"/>
      <c r="CP272" s="9"/>
      <c r="CQ272" s="9"/>
      <c r="CR272" s="9"/>
      <c r="CS272" s="9"/>
      <c r="CT272" s="9"/>
      <c r="CU272" s="9"/>
      <c r="CV272" s="9"/>
      <c r="CW272" s="9"/>
      <c r="CX272" s="9"/>
      <c r="CY272" s="9"/>
      <c r="CZ272" s="9"/>
      <c r="DA272" s="9"/>
      <c r="DB272" s="9"/>
    </row>
    <row r="273" spans="1:106" ht="9.9499999999999993" customHeight="1" x14ac:dyDescent="0.25">
      <c r="A273" s="7"/>
      <c r="B273" s="7"/>
      <c r="C273" s="8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9"/>
      <c r="BC273" s="9"/>
      <c r="BD273" s="9"/>
      <c r="BE273" s="9"/>
      <c r="BF273" s="9"/>
      <c r="BG273" s="9"/>
      <c r="BH273" s="9"/>
      <c r="BI273" s="9"/>
      <c r="BJ273" s="9"/>
      <c r="BK273" s="9"/>
      <c r="BL273" s="9"/>
      <c r="BM273" s="9"/>
      <c r="BN273" s="9"/>
      <c r="BO273" s="9"/>
      <c r="BP273" s="9"/>
      <c r="BQ273" s="9"/>
      <c r="BR273" s="9"/>
      <c r="BS273" s="9"/>
      <c r="BT273" s="9"/>
      <c r="BU273" s="9"/>
      <c r="BV273" s="9"/>
      <c r="BW273" s="9"/>
      <c r="BX273" s="9"/>
      <c r="BY273" s="9"/>
      <c r="BZ273" s="9"/>
      <c r="CA273" s="9"/>
      <c r="CB273" s="9"/>
      <c r="CC273" s="9"/>
      <c r="CD273" s="9"/>
      <c r="CE273" s="9"/>
      <c r="CF273" s="9"/>
      <c r="CG273" s="9"/>
      <c r="CH273" s="9"/>
      <c r="CI273" s="9"/>
      <c r="CJ273" s="9"/>
      <c r="CK273" s="9"/>
      <c r="CL273" s="9"/>
      <c r="CM273" s="9"/>
      <c r="CN273" s="9"/>
      <c r="CO273" s="9"/>
      <c r="CP273" s="9"/>
      <c r="CQ273" s="9"/>
      <c r="CR273" s="9"/>
      <c r="CS273" s="9"/>
      <c r="CT273" s="9"/>
      <c r="CU273" s="9"/>
      <c r="CV273" s="9"/>
      <c r="CW273" s="9"/>
      <c r="CX273" s="9"/>
      <c r="CY273" s="9"/>
      <c r="CZ273" s="9"/>
      <c r="DA273" s="9"/>
      <c r="DB273" s="9"/>
    </row>
    <row r="274" spans="1:106" ht="9.9499999999999993" customHeight="1" x14ac:dyDescent="0.25">
      <c r="A274" s="7"/>
      <c r="B274" s="7"/>
      <c r="C274" s="8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9"/>
      <c r="BC274" s="9"/>
      <c r="BD274" s="9"/>
      <c r="BE274" s="9"/>
      <c r="BF274" s="9"/>
      <c r="BG274" s="9"/>
      <c r="BH274" s="9"/>
      <c r="BI274" s="9"/>
      <c r="BJ274" s="9"/>
      <c r="BK274" s="9"/>
      <c r="BL274" s="9"/>
      <c r="BM274" s="9"/>
      <c r="BN274" s="9"/>
      <c r="BO274" s="9"/>
      <c r="BP274" s="9"/>
      <c r="BQ274" s="9"/>
      <c r="BR274" s="9"/>
      <c r="BS274" s="9"/>
      <c r="BT274" s="9"/>
      <c r="BU274" s="9"/>
      <c r="BV274" s="9"/>
      <c r="BW274" s="9"/>
      <c r="BX274" s="9"/>
      <c r="BY274" s="9"/>
      <c r="BZ274" s="9"/>
      <c r="CA274" s="9"/>
      <c r="CB274" s="9"/>
      <c r="CC274" s="9"/>
      <c r="CD274" s="9"/>
      <c r="CE274" s="9"/>
      <c r="CF274" s="9"/>
      <c r="CG274" s="9"/>
      <c r="CH274" s="9"/>
      <c r="CI274" s="9"/>
      <c r="CJ274" s="9"/>
      <c r="CK274" s="9"/>
      <c r="CL274" s="9"/>
      <c r="CM274" s="9"/>
      <c r="CN274" s="9"/>
      <c r="CO274" s="9"/>
      <c r="CP274" s="9"/>
      <c r="CQ274" s="9"/>
      <c r="CR274" s="9"/>
      <c r="CS274" s="9"/>
      <c r="CT274" s="9"/>
      <c r="CU274" s="9"/>
      <c r="CV274" s="9"/>
      <c r="CW274" s="9"/>
      <c r="CX274" s="9"/>
      <c r="CY274" s="9"/>
      <c r="CZ274" s="9"/>
      <c r="DA274" s="9"/>
      <c r="DB274" s="9"/>
    </row>
    <row r="275" spans="1:106" ht="9.9499999999999993" customHeight="1" x14ac:dyDescent="0.25">
      <c r="A275" s="7"/>
      <c r="B275" s="7"/>
      <c r="C275" s="8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9"/>
      <c r="BC275" s="9"/>
      <c r="BD275" s="9"/>
      <c r="BE275" s="9"/>
      <c r="BF275" s="9"/>
      <c r="BG275" s="9"/>
      <c r="BH275" s="9"/>
      <c r="BI275" s="9"/>
      <c r="BJ275" s="9"/>
      <c r="BK275" s="9"/>
      <c r="BL275" s="9"/>
      <c r="BM275" s="9"/>
      <c r="BN275" s="9"/>
      <c r="BO275" s="9"/>
      <c r="BP275" s="9"/>
      <c r="BQ275" s="9"/>
      <c r="BR275" s="9"/>
      <c r="BS275" s="9"/>
      <c r="BT275" s="9"/>
      <c r="BU275" s="9"/>
      <c r="BV275" s="9"/>
      <c r="BW275" s="9"/>
      <c r="BX275" s="9"/>
      <c r="BY275" s="9"/>
      <c r="BZ275" s="9"/>
      <c r="CA275" s="9"/>
      <c r="CB275" s="9"/>
      <c r="CC275" s="9"/>
      <c r="CD275" s="9"/>
      <c r="CE275" s="9"/>
      <c r="CF275" s="9"/>
      <c r="CG275" s="9"/>
      <c r="CH275" s="9"/>
      <c r="CI275" s="9"/>
      <c r="CJ275" s="9"/>
      <c r="CK275" s="9"/>
      <c r="CL275" s="9"/>
      <c r="CM275" s="9"/>
      <c r="CN275" s="9"/>
      <c r="CO275" s="9"/>
      <c r="CP275" s="9"/>
      <c r="CQ275" s="9"/>
      <c r="CR275" s="9"/>
      <c r="CS275" s="9"/>
      <c r="CT275" s="9"/>
      <c r="CU275" s="9"/>
      <c r="CV275" s="9"/>
      <c r="CW275" s="9"/>
      <c r="CX275" s="9"/>
      <c r="CY275" s="9"/>
      <c r="CZ275" s="9"/>
      <c r="DA275" s="9"/>
      <c r="DB275" s="9"/>
    </row>
    <row r="276" spans="1:106" ht="9.9499999999999993" customHeight="1" x14ac:dyDescent="0.25">
      <c r="A276" s="7"/>
      <c r="B276" s="7"/>
      <c r="C276" s="8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9"/>
      <c r="BC276" s="9"/>
      <c r="BD276" s="9"/>
      <c r="BE276" s="9"/>
      <c r="BF276" s="9"/>
      <c r="BG276" s="9"/>
      <c r="BH276" s="9"/>
      <c r="BI276" s="9"/>
      <c r="BJ276" s="9"/>
      <c r="BK276" s="9"/>
      <c r="BL276" s="9"/>
      <c r="BM276" s="9"/>
      <c r="BN276" s="9"/>
      <c r="BO276" s="9"/>
      <c r="BP276" s="9"/>
      <c r="BQ276" s="9"/>
      <c r="BR276" s="9"/>
      <c r="BS276" s="9"/>
      <c r="BT276" s="9"/>
      <c r="BU276" s="9"/>
      <c r="BV276" s="9"/>
      <c r="BW276" s="9"/>
      <c r="BX276" s="9"/>
      <c r="BY276" s="9"/>
      <c r="BZ276" s="9"/>
      <c r="CA276" s="9"/>
      <c r="CB276" s="9"/>
      <c r="CC276" s="9"/>
      <c r="CD276" s="9"/>
      <c r="CE276" s="9"/>
      <c r="CF276" s="9"/>
      <c r="CG276" s="9"/>
      <c r="CH276" s="9"/>
      <c r="CI276" s="9"/>
      <c r="CJ276" s="9"/>
      <c r="CK276" s="9"/>
      <c r="CL276" s="9"/>
      <c r="CM276" s="9"/>
      <c r="CN276" s="9"/>
      <c r="CO276" s="9"/>
      <c r="CP276" s="9"/>
      <c r="CQ276" s="9"/>
      <c r="CR276" s="9"/>
      <c r="CS276" s="9"/>
      <c r="CT276" s="9"/>
      <c r="CU276" s="9"/>
      <c r="CV276" s="9"/>
      <c r="CW276" s="9"/>
      <c r="CX276" s="9"/>
      <c r="CY276" s="9"/>
      <c r="CZ276" s="9"/>
      <c r="DA276" s="9"/>
      <c r="DB276" s="9"/>
    </row>
    <row r="277" spans="1:106" ht="9.9499999999999993" customHeight="1" x14ac:dyDescent="0.25">
      <c r="A277" s="7"/>
      <c r="B277" s="7"/>
      <c r="C277" s="8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9"/>
      <c r="BC277" s="9"/>
      <c r="BD277" s="9"/>
      <c r="BE277" s="9"/>
      <c r="BF277" s="9"/>
      <c r="BG277" s="9"/>
      <c r="BH277" s="9"/>
      <c r="BI277" s="9"/>
      <c r="BJ277" s="9"/>
      <c r="BK277" s="9"/>
      <c r="BL277" s="9"/>
      <c r="BM277" s="9"/>
      <c r="BN277" s="9"/>
      <c r="BO277" s="9"/>
      <c r="BP277" s="9"/>
      <c r="BQ277" s="9"/>
      <c r="BR277" s="9"/>
      <c r="BS277" s="9"/>
      <c r="BT277" s="9"/>
      <c r="BU277" s="9"/>
      <c r="BV277" s="9"/>
      <c r="BW277" s="9"/>
      <c r="BX277" s="9"/>
      <c r="BY277" s="9"/>
      <c r="BZ277" s="9"/>
      <c r="CA277" s="9"/>
      <c r="CB277" s="9"/>
      <c r="CC277" s="9"/>
      <c r="CD277" s="9"/>
      <c r="CE277" s="9"/>
      <c r="CF277" s="9"/>
      <c r="CG277" s="9"/>
      <c r="CH277" s="9"/>
      <c r="CI277" s="9"/>
      <c r="CJ277" s="9"/>
      <c r="CK277" s="9"/>
      <c r="CL277" s="9"/>
      <c r="CM277" s="9"/>
      <c r="CN277" s="9"/>
      <c r="CO277" s="9"/>
      <c r="CP277" s="9"/>
      <c r="CQ277" s="9"/>
      <c r="CR277" s="9"/>
      <c r="CS277" s="9"/>
      <c r="CT277" s="9"/>
      <c r="CU277" s="9"/>
      <c r="CV277" s="9"/>
      <c r="CW277" s="9"/>
      <c r="CX277" s="9"/>
      <c r="CY277" s="9"/>
      <c r="CZ277" s="9"/>
      <c r="DA277" s="9"/>
      <c r="DB277" s="9"/>
    </row>
    <row r="278" spans="1:106" ht="9.9499999999999993" customHeight="1" x14ac:dyDescent="0.25">
      <c r="A278" s="7"/>
      <c r="B278" s="7"/>
      <c r="C278" s="8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9"/>
      <c r="BC278" s="9"/>
      <c r="BD278" s="9"/>
      <c r="BE278" s="9"/>
      <c r="BF278" s="9"/>
      <c r="BG278" s="9"/>
      <c r="BH278" s="9"/>
      <c r="BI278" s="9"/>
      <c r="BJ278" s="9"/>
      <c r="BK278" s="9"/>
      <c r="BL278" s="9"/>
      <c r="BM278" s="9"/>
      <c r="BN278" s="9"/>
      <c r="BO278" s="9"/>
      <c r="BP278" s="9"/>
      <c r="BQ278" s="9"/>
      <c r="BR278" s="9"/>
      <c r="BS278" s="9"/>
      <c r="BT278" s="9"/>
      <c r="BU278" s="9"/>
      <c r="BV278" s="9"/>
      <c r="BW278" s="9"/>
      <c r="BX278" s="9"/>
      <c r="BY278" s="9"/>
      <c r="BZ278" s="9"/>
      <c r="CA278" s="9"/>
      <c r="CB278" s="9"/>
      <c r="CC278" s="9"/>
      <c r="CD278" s="9"/>
      <c r="CE278" s="9"/>
      <c r="CF278" s="9"/>
      <c r="CG278" s="9"/>
      <c r="CH278" s="9"/>
      <c r="CI278" s="9"/>
      <c r="CJ278" s="9"/>
      <c r="CK278" s="9"/>
      <c r="CL278" s="9"/>
      <c r="CM278" s="9"/>
      <c r="CN278" s="9"/>
      <c r="CO278" s="9"/>
      <c r="CP278" s="9"/>
      <c r="CQ278" s="9"/>
      <c r="CR278" s="9"/>
      <c r="CS278" s="9"/>
      <c r="CT278" s="9"/>
      <c r="CU278" s="9"/>
      <c r="CV278" s="9"/>
      <c r="CW278" s="9"/>
      <c r="CX278" s="9"/>
      <c r="CY278" s="9"/>
      <c r="CZ278" s="9"/>
      <c r="DA278" s="9"/>
      <c r="DB278" s="9"/>
    </row>
    <row r="279" spans="1:106" ht="9.9499999999999993" customHeight="1" x14ac:dyDescent="0.25">
      <c r="A279" s="7"/>
      <c r="B279" s="7"/>
      <c r="C279" s="8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9"/>
      <c r="BC279" s="9"/>
      <c r="BD279" s="9"/>
      <c r="BE279" s="9"/>
      <c r="BF279" s="9"/>
      <c r="BG279" s="9"/>
      <c r="BH279" s="9"/>
      <c r="BI279" s="9"/>
      <c r="BJ279" s="9"/>
      <c r="BK279" s="9"/>
      <c r="BL279" s="9"/>
      <c r="BM279" s="9"/>
      <c r="BN279" s="9"/>
      <c r="BO279" s="9"/>
      <c r="BP279" s="9"/>
      <c r="BQ279" s="9"/>
      <c r="BR279" s="9"/>
      <c r="BS279" s="9"/>
      <c r="BT279" s="9"/>
      <c r="BU279" s="9"/>
      <c r="BV279" s="9"/>
      <c r="BW279" s="9"/>
      <c r="BX279" s="9"/>
      <c r="BY279" s="9"/>
      <c r="BZ279" s="9"/>
      <c r="CA279" s="9"/>
      <c r="CB279" s="9"/>
      <c r="CC279" s="9"/>
      <c r="CD279" s="9"/>
      <c r="CE279" s="9"/>
      <c r="CF279" s="9"/>
      <c r="CG279" s="9"/>
      <c r="CH279" s="9"/>
      <c r="CI279" s="9"/>
      <c r="CJ279" s="9"/>
      <c r="CK279" s="9"/>
      <c r="CL279" s="9"/>
      <c r="CM279" s="9"/>
      <c r="CN279" s="9"/>
      <c r="CO279" s="9"/>
      <c r="CP279" s="9"/>
      <c r="CQ279" s="9"/>
      <c r="CR279" s="9"/>
      <c r="CS279" s="9"/>
      <c r="CT279" s="9"/>
      <c r="CU279" s="9"/>
      <c r="CV279" s="9"/>
      <c r="CW279" s="9"/>
      <c r="CX279" s="9"/>
      <c r="CY279" s="9"/>
      <c r="CZ279" s="9"/>
      <c r="DA279" s="9"/>
      <c r="DB279" s="9"/>
    </row>
    <row r="280" spans="1:106" ht="9.9499999999999993" customHeight="1" x14ac:dyDescent="0.25">
      <c r="A280" s="7"/>
      <c r="B280" s="7"/>
      <c r="C280" s="8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9"/>
      <c r="BC280" s="9"/>
      <c r="BD280" s="9"/>
      <c r="BE280" s="9"/>
      <c r="BF280" s="9"/>
      <c r="BG280" s="9"/>
      <c r="BH280" s="9"/>
      <c r="BI280" s="9"/>
      <c r="BJ280" s="9"/>
      <c r="BK280" s="9"/>
      <c r="BL280" s="9"/>
      <c r="BM280" s="9"/>
      <c r="BN280" s="9"/>
      <c r="BO280" s="9"/>
      <c r="BP280" s="9"/>
      <c r="BQ280" s="9"/>
      <c r="BR280" s="9"/>
      <c r="BS280" s="9"/>
      <c r="BT280" s="9"/>
      <c r="BU280" s="9"/>
      <c r="BV280" s="9"/>
      <c r="BW280" s="9"/>
      <c r="BX280" s="9"/>
      <c r="BY280" s="9"/>
      <c r="BZ280" s="9"/>
      <c r="CA280" s="9"/>
      <c r="CB280" s="9"/>
      <c r="CC280" s="9"/>
      <c r="CD280" s="9"/>
      <c r="CE280" s="9"/>
      <c r="CF280" s="9"/>
      <c r="CG280" s="9"/>
      <c r="CH280" s="9"/>
      <c r="CI280" s="9"/>
      <c r="CJ280" s="9"/>
      <c r="CK280" s="9"/>
      <c r="CL280" s="9"/>
      <c r="CM280" s="9"/>
      <c r="CN280" s="9"/>
      <c r="CO280" s="9"/>
      <c r="CP280" s="9"/>
      <c r="CQ280" s="9"/>
      <c r="CR280" s="9"/>
      <c r="CS280" s="9"/>
      <c r="CT280" s="9"/>
      <c r="CU280" s="9"/>
      <c r="CV280" s="9"/>
      <c r="CW280" s="9"/>
      <c r="CX280" s="9"/>
      <c r="CY280" s="9"/>
      <c r="CZ280" s="9"/>
      <c r="DA280" s="9"/>
      <c r="DB280" s="9"/>
    </row>
    <row r="281" spans="1:106" ht="9.9499999999999993" customHeight="1" x14ac:dyDescent="0.25">
      <c r="A281" s="7"/>
      <c r="B281" s="7"/>
      <c r="C281" s="8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9"/>
      <c r="BC281" s="9"/>
      <c r="BD281" s="9"/>
      <c r="BE281" s="9"/>
      <c r="BF281" s="9"/>
      <c r="BG281" s="9"/>
      <c r="BH281" s="9"/>
      <c r="BI281" s="9"/>
      <c r="BJ281" s="9"/>
      <c r="BK281" s="9"/>
      <c r="BL281" s="9"/>
      <c r="BM281" s="9"/>
      <c r="BN281" s="9"/>
      <c r="BO281" s="9"/>
      <c r="BP281" s="9"/>
      <c r="BQ281" s="9"/>
      <c r="BR281" s="9"/>
      <c r="BS281" s="9"/>
      <c r="BT281" s="9"/>
      <c r="BU281" s="9"/>
      <c r="BV281" s="9"/>
      <c r="BW281" s="9"/>
      <c r="BX281" s="9"/>
      <c r="BY281" s="9"/>
      <c r="BZ281" s="9"/>
      <c r="CA281" s="9"/>
      <c r="CB281" s="9"/>
      <c r="CC281" s="9"/>
      <c r="CD281" s="9"/>
      <c r="CE281" s="9"/>
      <c r="CF281" s="9"/>
      <c r="CG281" s="9"/>
      <c r="CH281" s="9"/>
      <c r="CI281" s="9"/>
      <c r="CJ281" s="9"/>
      <c r="CK281" s="9"/>
      <c r="CL281" s="9"/>
      <c r="CM281" s="9"/>
      <c r="CN281" s="9"/>
      <c r="CO281" s="9"/>
      <c r="CP281" s="9"/>
      <c r="CQ281" s="9"/>
      <c r="CR281" s="9"/>
      <c r="CS281" s="9"/>
      <c r="CT281" s="9"/>
      <c r="CU281" s="9"/>
      <c r="CV281" s="9"/>
      <c r="CW281" s="9"/>
      <c r="CX281" s="9"/>
      <c r="CY281" s="9"/>
      <c r="CZ281" s="9"/>
      <c r="DA281" s="9"/>
      <c r="DB281" s="9"/>
    </row>
    <row r="282" spans="1:106" ht="9.9499999999999993" customHeight="1" x14ac:dyDescent="0.25">
      <c r="A282" s="7"/>
      <c r="B282" s="7"/>
      <c r="C282" s="8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9"/>
      <c r="BC282" s="9"/>
      <c r="BD282" s="9"/>
      <c r="BE282" s="9"/>
      <c r="BF282" s="9"/>
      <c r="BG282" s="9"/>
      <c r="BH282" s="9"/>
      <c r="BI282" s="9"/>
      <c r="BJ282" s="9"/>
      <c r="BK282" s="9"/>
      <c r="BL282" s="9"/>
      <c r="BM282" s="9"/>
      <c r="BN282" s="9"/>
      <c r="BO282" s="9"/>
      <c r="BP282" s="9"/>
      <c r="BQ282" s="9"/>
      <c r="BR282" s="9"/>
      <c r="BS282" s="9"/>
      <c r="BT282" s="9"/>
      <c r="BU282" s="9"/>
      <c r="BV282" s="9"/>
      <c r="BW282" s="9"/>
      <c r="BX282" s="9"/>
      <c r="BY282" s="9"/>
      <c r="BZ282" s="9"/>
      <c r="CA282" s="9"/>
      <c r="CB282" s="9"/>
      <c r="CC282" s="9"/>
      <c r="CD282" s="9"/>
      <c r="CE282" s="9"/>
      <c r="CF282" s="9"/>
      <c r="CG282" s="9"/>
      <c r="CH282" s="9"/>
      <c r="CI282" s="9"/>
      <c r="CJ282" s="9"/>
      <c r="CK282" s="9"/>
      <c r="CL282" s="9"/>
      <c r="CM282" s="9"/>
      <c r="CN282" s="9"/>
      <c r="CO282" s="9"/>
      <c r="CP282" s="9"/>
      <c r="CQ282" s="9"/>
      <c r="CR282" s="9"/>
      <c r="CS282" s="9"/>
      <c r="CT282" s="9"/>
      <c r="CU282" s="9"/>
      <c r="CV282" s="9"/>
      <c r="CW282" s="9"/>
      <c r="CX282" s="9"/>
      <c r="CY282" s="9"/>
      <c r="CZ282" s="9"/>
      <c r="DA282" s="9"/>
      <c r="DB282" s="9"/>
    </row>
    <row r="283" spans="1:106" ht="9.9499999999999993" customHeight="1" x14ac:dyDescent="0.25">
      <c r="A283" s="7"/>
      <c r="B283" s="7"/>
      <c r="C283" s="8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9"/>
      <c r="BC283" s="9"/>
      <c r="BD283" s="9"/>
      <c r="BE283" s="9"/>
      <c r="BF283" s="9"/>
      <c r="BG283" s="9"/>
      <c r="BH283" s="9"/>
      <c r="BI283" s="9"/>
      <c r="BJ283" s="9"/>
      <c r="BK283" s="9"/>
      <c r="BL283" s="9"/>
      <c r="BM283" s="9"/>
      <c r="BN283" s="9"/>
      <c r="BO283" s="9"/>
      <c r="BP283" s="9"/>
      <c r="BQ283" s="9"/>
      <c r="BR283" s="9"/>
      <c r="BS283" s="9"/>
      <c r="BT283" s="9"/>
      <c r="BU283" s="9"/>
      <c r="BV283" s="9"/>
      <c r="BW283" s="9"/>
      <c r="BX283" s="9"/>
      <c r="BY283" s="9"/>
      <c r="BZ283" s="9"/>
      <c r="CA283" s="9"/>
      <c r="CB283" s="9"/>
      <c r="CC283" s="9"/>
      <c r="CD283" s="9"/>
      <c r="CE283" s="9"/>
      <c r="CF283" s="9"/>
      <c r="CG283" s="9"/>
      <c r="CH283" s="9"/>
      <c r="CI283" s="9"/>
      <c r="CJ283" s="9"/>
      <c r="CK283" s="9"/>
      <c r="CL283" s="9"/>
      <c r="CM283" s="9"/>
      <c r="CN283" s="9"/>
      <c r="CO283" s="9"/>
      <c r="CP283" s="9"/>
      <c r="CQ283" s="9"/>
      <c r="CR283" s="9"/>
      <c r="CS283" s="9"/>
      <c r="CT283" s="9"/>
      <c r="CU283" s="9"/>
      <c r="CV283" s="9"/>
      <c r="CW283" s="9"/>
      <c r="CX283" s="9"/>
      <c r="CY283" s="9"/>
      <c r="CZ283" s="9"/>
      <c r="DA283" s="9"/>
      <c r="DB283" s="9"/>
    </row>
    <row r="284" spans="1:106" ht="9.9499999999999993" customHeight="1" x14ac:dyDescent="0.25">
      <c r="A284" s="7"/>
      <c r="B284" s="7"/>
      <c r="C284" s="8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9"/>
      <c r="BC284" s="9"/>
      <c r="BD284" s="9"/>
      <c r="BE284" s="9"/>
      <c r="BF284" s="9"/>
      <c r="BG284" s="9"/>
      <c r="BH284" s="9"/>
      <c r="BI284" s="9"/>
      <c r="BJ284" s="9"/>
      <c r="BK284" s="9"/>
      <c r="BL284" s="9"/>
      <c r="BM284" s="9"/>
      <c r="BN284" s="9"/>
      <c r="BO284" s="9"/>
      <c r="BP284" s="9"/>
      <c r="BQ284" s="9"/>
      <c r="BR284" s="9"/>
      <c r="BS284" s="9"/>
      <c r="BT284" s="9"/>
      <c r="BU284" s="9"/>
      <c r="BV284" s="9"/>
      <c r="BW284" s="9"/>
      <c r="BX284" s="9"/>
      <c r="BY284" s="9"/>
      <c r="BZ284" s="9"/>
      <c r="CA284" s="9"/>
      <c r="CB284" s="9"/>
      <c r="CC284" s="9"/>
      <c r="CD284" s="9"/>
      <c r="CE284" s="9"/>
      <c r="CF284" s="9"/>
      <c r="CG284" s="9"/>
      <c r="CH284" s="9"/>
      <c r="CI284" s="9"/>
      <c r="CJ284" s="9"/>
      <c r="CK284" s="9"/>
      <c r="CL284" s="9"/>
      <c r="CM284" s="9"/>
      <c r="CN284" s="9"/>
      <c r="CO284" s="9"/>
      <c r="CP284" s="9"/>
      <c r="CQ284" s="9"/>
      <c r="CR284" s="9"/>
      <c r="CS284" s="9"/>
      <c r="CT284" s="9"/>
      <c r="CU284" s="9"/>
      <c r="CV284" s="9"/>
      <c r="CW284" s="9"/>
      <c r="CX284" s="9"/>
      <c r="CY284" s="9"/>
      <c r="CZ284" s="9"/>
      <c r="DA284" s="9"/>
      <c r="DB284" s="9"/>
    </row>
    <row r="285" spans="1:106" ht="9.9499999999999993" customHeight="1" x14ac:dyDescent="0.25">
      <c r="A285" s="7"/>
      <c r="B285" s="7"/>
      <c r="C285" s="8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9"/>
      <c r="BC285" s="9"/>
      <c r="BD285" s="9"/>
      <c r="BE285" s="9"/>
      <c r="BF285" s="9"/>
      <c r="BG285" s="9"/>
      <c r="BH285" s="9"/>
      <c r="BI285" s="9"/>
      <c r="BJ285" s="9"/>
      <c r="BK285" s="9"/>
      <c r="BL285" s="9"/>
      <c r="BM285" s="9"/>
      <c r="BN285" s="9"/>
      <c r="BO285" s="9"/>
      <c r="BP285" s="9"/>
      <c r="BQ285" s="9"/>
      <c r="BR285" s="9"/>
      <c r="BS285" s="9"/>
      <c r="BT285" s="9"/>
      <c r="BU285" s="9"/>
      <c r="BV285" s="9"/>
      <c r="BW285" s="9"/>
      <c r="BX285" s="9"/>
      <c r="BY285" s="9"/>
      <c r="BZ285" s="9"/>
      <c r="CA285" s="9"/>
      <c r="CB285" s="9"/>
      <c r="CC285" s="9"/>
      <c r="CD285" s="9"/>
      <c r="CE285" s="9"/>
      <c r="CF285" s="9"/>
      <c r="CG285" s="9"/>
      <c r="CH285" s="9"/>
      <c r="CI285" s="9"/>
      <c r="CJ285" s="9"/>
      <c r="CK285" s="9"/>
      <c r="CL285" s="9"/>
      <c r="CM285" s="9"/>
      <c r="CN285" s="9"/>
      <c r="CO285" s="9"/>
      <c r="CP285" s="9"/>
      <c r="CQ285" s="9"/>
      <c r="CR285" s="9"/>
      <c r="CS285" s="9"/>
      <c r="CT285" s="9"/>
      <c r="CU285" s="9"/>
      <c r="CV285" s="9"/>
      <c r="CW285" s="9"/>
      <c r="CX285" s="9"/>
      <c r="CY285" s="9"/>
      <c r="CZ285" s="9"/>
      <c r="DA285" s="9"/>
      <c r="DB285" s="9"/>
    </row>
    <row r="286" spans="1:106" ht="9.9499999999999993" customHeight="1" x14ac:dyDescent="0.25">
      <c r="A286" s="7"/>
      <c r="B286" s="7"/>
      <c r="C286" s="8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9"/>
      <c r="BC286" s="9"/>
      <c r="BD286" s="9"/>
      <c r="BE286" s="9"/>
      <c r="BF286" s="9"/>
      <c r="BG286" s="9"/>
      <c r="BH286" s="9"/>
      <c r="BI286" s="9"/>
      <c r="BJ286" s="9"/>
      <c r="BK286" s="9"/>
      <c r="BL286" s="9"/>
      <c r="BM286" s="9"/>
      <c r="BN286" s="9"/>
      <c r="BO286" s="9"/>
      <c r="BP286" s="9"/>
      <c r="BQ286" s="9"/>
      <c r="BR286" s="9"/>
      <c r="BS286" s="9"/>
      <c r="BT286" s="9"/>
      <c r="BU286" s="9"/>
      <c r="BV286" s="9"/>
      <c r="BW286" s="9"/>
      <c r="BX286" s="9"/>
      <c r="BY286" s="9"/>
      <c r="BZ286" s="9"/>
      <c r="CA286" s="9"/>
      <c r="CB286" s="9"/>
      <c r="CC286" s="9"/>
      <c r="CD286" s="9"/>
      <c r="CE286" s="9"/>
      <c r="CF286" s="9"/>
      <c r="CG286" s="9"/>
      <c r="CH286" s="9"/>
      <c r="CI286" s="9"/>
      <c r="CJ286" s="9"/>
      <c r="CK286" s="9"/>
      <c r="CL286" s="9"/>
      <c r="CM286" s="9"/>
      <c r="CN286" s="9"/>
      <c r="CO286" s="9"/>
      <c r="CP286" s="9"/>
      <c r="CQ286" s="9"/>
      <c r="CR286" s="9"/>
      <c r="CS286" s="9"/>
      <c r="CT286" s="9"/>
      <c r="CU286" s="9"/>
      <c r="CV286" s="9"/>
      <c r="CW286" s="9"/>
      <c r="CX286" s="9"/>
      <c r="CY286" s="9"/>
      <c r="CZ286" s="9"/>
      <c r="DA286" s="9"/>
      <c r="DB286" s="9"/>
    </row>
    <row r="287" spans="1:106" ht="9.9499999999999993" customHeight="1" x14ac:dyDescent="0.25">
      <c r="A287" s="7"/>
      <c r="B287" s="7"/>
      <c r="C287" s="8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9"/>
      <c r="BC287" s="9"/>
      <c r="BD287" s="9"/>
      <c r="BE287" s="9"/>
      <c r="BF287" s="9"/>
      <c r="BG287" s="9"/>
      <c r="BH287" s="9"/>
      <c r="BI287" s="9"/>
      <c r="BJ287" s="9"/>
      <c r="BK287" s="9"/>
      <c r="BL287" s="9"/>
      <c r="BM287" s="9"/>
      <c r="BN287" s="9"/>
      <c r="BO287" s="9"/>
      <c r="BP287" s="9"/>
      <c r="BQ287" s="9"/>
      <c r="BR287" s="9"/>
      <c r="BS287" s="9"/>
      <c r="BT287" s="9"/>
      <c r="BU287" s="9"/>
      <c r="BV287" s="9"/>
      <c r="BW287" s="9"/>
      <c r="BX287" s="9"/>
      <c r="BY287" s="9"/>
      <c r="BZ287" s="9"/>
      <c r="CA287" s="9"/>
      <c r="CB287" s="9"/>
      <c r="CC287" s="9"/>
      <c r="CD287" s="9"/>
      <c r="CE287" s="9"/>
      <c r="CF287" s="9"/>
      <c r="CG287" s="9"/>
      <c r="CH287" s="9"/>
      <c r="CI287" s="9"/>
      <c r="CJ287" s="9"/>
      <c r="CK287" s="9"/>
      <c r="CL287" s="9"/>
      <c r="CM287" s="9"/>
      <c r="CN287" s="9"/>
      <c r="CO287" s="9"/>
      <c r="CP287" s="9"/>
      <c r="CQ287" s="9"/>
      <c r="CR287" s="9"/>
      <c r="CS287" s="9"/>
      <c r="CT287" s="9"/>
      <c r="CU287" s="9"/>
      <c r="CV287" s="9"/>
      <c r="CW287" s="9"/>
      <c r="CX287" s="9"/>
      <c r="CY287" s="9"/>
      <c r="CZ287" s="9"/>
      <c r="DA287" s="9"/>
      <c r="DB287" s="9"/>
    </row>
    <row r="288" spans="1:106" ht="9.9499999999999993" customHeight="1" x14ac:dyDescent="0.25">
      <c r="A288" s="7"/>
      <c r="B288" s="7"/>
      <c r="C288" s="8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9"/>
      <c r="BC288" s="9"/>
      <c r="BD288" s="9"/>
      <c r="BE288" s="9"/>
      <c r="BF288" s="9"/>
      <c r="BG288" s="9"/>
      <c r="BH288" s="9"/>
      <c r="BI288" s="9"/>
      <c r="BJ288" s="9"/>
      <c r="BK288" s="9"/>
      <c r="BL288" s="9"/>
      <c r="BM288" s="9"/>
      <c r="BN288" s="9"/>
      <c r="BO288" s="9"/>
      <c r="BP288" s="9"/>
      <c r="BQ288" s="9"/>
      <c r="BR288" s="9"/>
      <c r="BS288" s="9"/>
      <c r="BT288" s="9"/>
      <c r="BU288" s="9"/>
      <c r="BV288" s="9"/>
      <c r="BW288" s="9"/>
      <c r="BX288" s="9"/>
      <c r="BY288" s="9"/>
      <c r="BZ288" s="9"/>
      <c r="CA288" s="9"/>
      <c r="CB288" s="9"/>
      <c r="CC288" s="9"/>
      <c r="CD288" s="9"/>
      <c r="CE288" s="9"/>
      <c r="CF288" s="9"/>
      <c r="CG288" s="9"/>
      <c r="CH288" s="9"/>
      <c r="CI288" s="9"/>
      <c r="CJ288" s="9"/>
      <c r="CK288" s="9"/>
      <c r="CL288" s="9"/>
      <c r="CM288" s="9"/>
      <c r="CN288" s="9"/>
      <c r="CO288" s="9"/>
      <c r="CP288" s="9"/>
      <c r="CQ288" s="9"/>
      <c r="CR288" s="9"/>
      <c r="CS288" s="9"/>
      <c r="CT288" s="9"/>
      <c r="CU288" s="9"/>
      <c r="CV288" s="9"/>
      <c r="CW288" s="9"/>
      <c r="CX288" s="9"/>
      <c r="CY288" s="9"/>
      <c r="CZ288" s="9"/>
      <c r="DA288" s="9"/>
      <c r="DB288" s="9"/>
    </row>
    <row r="289" spans="1:106" ht="9.9499999999999993" customHeight="1" x14ac:dyDescent="0.25">
      <c r="A289" s="7"/>
      <c r="B289" s="7"/>
      <c r="C289" s="8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9"/>
      <c r="BC289" s="9"/>
      <c r="BD289" s="9"/>
      <c r="BE289" s="9"/>
      <c r="BF289" s="9"/>
      <c r="BG289" s="9"/>
      <c r="BH289" s="9"/>
      <c r="BI289" s="9"/>
      <c r="BJ289" s="9"/>
      <c r="BK289" s="9"/>
      <c r="BL289" s="9"/>
      <c r="BM289" s="9"/>
      <c r="BN289" s="9"/>
      <c r="BO289" s="9"/>
      <c r="BP289" s="9"/>
      <c r="BQ289" s="9"/>
      <c r="BR289" s="9"/>
      <c r="BS289" s="9"/>
      <c r="BT289" s="9"/>
      <c r="BU289" s="9"/>
      <c r="BV289" s="9"/>
      <c r="BW289" s="9"/>
      <c r="BX289" s="9"/>
      <c r="BY289" s="9"/>
      <c r="BZ289" s="9"/>
      <c r="CA289" s="9"/>
      <c r="CB289" s="9"/>
      <c r="CC289" s="9"/>
      <c r="CD289" s="9"/>
      <c r="CE289" s="9"/>
      <c r="CF289" s="9"/>
      <c r="CG289" s="9"/>
      <c r="CH289" s="9"/>
      <c r="CI289" s="9"/>
      <c r="CJ289" s="9"/>
      <c r="CK289" s="9"/>
      <c r="CL289" s="9"/>
      <c r="CM289" s="9"/>
      <c r="CN289" s="9"/>
      <c r="CO289" s="9"/>
      <c r="CP289" s="9"/>
      <c r="CQ289" s="9"/>
      <c r="CR289" s="9"/>
      <c r="CS289" s="9"/>
      <c r="CT289" s="9"/>
      <c r="CU289" s="9"/>
      <c r="CV289" s="9"/>
      <c r="CW289" s="9"/>
      <c r="CX289" s="9"/>
      <c r="CY289" s="9"/>
      <c r="CZ289" s="9"/>
      <c r="DA289" s="9"/>
      <c r="DB289" s="9"/>
    </row>
    <row r="290" spans="1:106" ht="9.9499999999999993" customHeight="1" x14ac:dyDescent="0.25">
      <c r="A290" s="7"/>
      <c r="B290" s="7"/>
      <c r="C290" s="8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9"/>
      <c r="BC290" s="9"/>
      <c r="BD290" s="9"/>
      <c r="BE290" s="9"/>
      <c r="BF290" s="9"/>
      <c r="BG290" s="9"/>
      <c r="BH290" s="9"/>
      <c r="BI290" s="9"/>
      <c r="BJ290" s="9"/>
      <c r="BK290" s="9"/>
      <c r="BL290" s="9"/>
      <c r="BM290" s="9"/>
      <c r="BN290" s="9"/>
      <c r="BO290" s="9"/>
      <c r="BP290" s="9"/>
      <c r="BQ290" s="9"/>
      <c r="BR290" s="9"/>
      <c r="BS290" s="9"/>
      <c r="BT290" s="9"/>
      <c r="BU290" s="9"/>
      <c r="BV290" s="9"/>
      <c r="BW290" s="9"/>
      <c r="BX290" s="9"/>
      <c r="BY290" s="9"/>
      <c r="BZ290" s="9"/>
      <c r="CA290" s="9"/>
      <c r="CB290" s="9"/>
      <c r="CC290" s="9"/>
      <c r="CD290" s="9"/>
      <c r="CE290" s="9"/>
      <c r="CF290" s="9"/>
      <c r="CG290" s="9"/>
      <c r="CH290" s="9"/>
      <c r="CI290" s="9"/>
      <c r="CJ290" s="9"/>
      <c r="CK290" s="9"/>
      <c r="CL290" s="9"/>
      <c r="CM290" s="9"/>
      <c r="CN290" s="9"/>
      <c r="CO290" s="9"/>
      <c r="CP290" s="9"/>
      <c r="CQ290" s="9"/>
      <c r="CR290" s="9"/>
      <c r="CS290" s="9"/>
      <c r="CT290" s="9"/>
      <c r="CU290" s="9"/>
      <c r="CV290" s="9"/>
      <c r="CW290" s="9"/>
      <c r="CX290" s="9"/>
      <c r="CY290" s="9"/>
      <c r="CZ290" s="9"/>
      <c r="DA290" s="9"/>
      <c r="DB290" s="9"/>
    </row>
    <row r="291" spans="1:106" ht="9.9499999999999993" customHeight="1" x14ac:dyDescent="0.25">
      <c r="A291" s="7"/>
      <c r="B291" s="7"/>
      <c r="C291" s="8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9"/>
      <c r="BC291" s="9"/>
      <c r="BD291" s="9"/>
      <c r="BE291" s="9"/>
      <c r="BF291" s="9"/>
      <c r="BG291" s="9"/>
      <c r="BH291" s="9"/>
      <c r="BI291" s="9"/>
      <c r="BJ291" s="9"/>
      <c r="BK291" s="9"/>
      <c r="BL291" s="9"/>
      <c r="BM291" s="9"/>
      <c r="BN291" s="9"/>
      <c r="BO291" s="9"/>
      <c r="BP291" s="9"/>
      <c r="BQ291" s="9"/>
      <c r="BR291" s="9"/>
      <c r="BS291" s="9"/>
      <c r="BT291" s="9"/>
      <c r="BU291" s="9"/>
      <c r="BV291" s="9"/>
      <c r="BW291" s="9"/>
      <c r="BX291" s="9"/>
      <c r="BY291" s="9"/>
      <c r="BZ291" s="9"/>
      <c r="CA291" s="9"/>
      <c r="CB291" s="9"/>
      <c r="CC291" s="9"/>
      <c r="CD291" s="9"/>
      <c r="CE291" s="9"/>
      <c r="CF291" s="9"/>
      <c r="CG291" s="9"/>
      <c r="CH291" s="9"/>
      <c r="CI291" s="9"/>
      <c r="CJ291" s="9"/>
      <c r="CK291" s="9"/>
      <c r="CL291" s="9"/>
      <c r="CM291" s="9"/>
      <c r="CN291" s="9"/>
      <c r="CO291" s="9"/>
      <c r="CP291" s="9"/>
      <c r="CQ291" s="9"/>
      <c r="CR291" s="9"/>
      <c r="CS291" s="9"/>
      <c r="CT291" s="9"/>
      <c r="CU291" s="9"/>
      <c r="CV291" s="9"/>
      <c r="CW291" s="9"/>
      <c r="CX291" s="9"/>
      <c r="CY291" s="9"/>
      <c r="CZ291" s="9"/>
      <c r="DA291" s="9"/>
      <c r="DB291" s="9"/>
    </row>
    <row r="292" spans="1:106" ht="9.9499999999999993" customHeight="1" x14ac:dyDescent="0.25">
      <c r="A292" s="7"/>
      <c r="B292" s="7"/>
      <c r="C292" s="8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9"/>
      <c r="BC292" s="9"/>
      <c r="BD292" s="9"/>
      <c r="BE292" s="9"/>
      <c r="BF292" s="9"/>
      <c r="BG292" s="9"/>
      <c r="BH292" s="9"/>
      <c r="BI292" s="9"/>
      <c r="BJ292" s="9"/>
      <c r="BK292" s="9"/>
      <c r="BL292" s="9"/>
      <c r="BM292" s="9"/>
      <c r="BN292" s="9"/>
      <c r="BO292" s="9"/>
      <c r="BP292" s="9"/>
      <c r="BQ292" s="9"/>
      <c r="BR292" s="9"/>
      <c r="BS292" s="9"/>
      <c r="BT292" s="9"/>
      <c r="BU292" s="9"/>
      <c r="BV292" s="9"/>
      <c r="BW292" s="9"/>
      <c r="BX292" s="9"/>
      <c r="BY292" s="9"/>
      <c r="BZ292" s="9"/>
      <c r="CA292" s="9"/>
      <c r="CB292" s="9"/>
      <c r="CC292" s="9"/>
      <c r="CD292" s="9"/>
      <c r="CE292" s="9"/>
      <c r="CF292" s="9"/>
      <c r="CG292" s="9"/>
      <c r="CH292" s="9"/>
      <c r="CI292" s="9"/>
      <c r="CJ292" s="9"/>
      <c r="CK292" s="9"/>
      <c r="CL292" s="9"/>
      <c r="CM292" s="9"/>
      <c r="CN292" s="9"/>
      <c r="CO292" s="9"/>
      <c r="CP292" s="9"/>
      <c r="CQ292" s="9"/>
      <c r="CR292" s="9"/>
      <c r="CS292" s="9"/>
      <c r="CT292" s="9"/>
      <c r="CU292" s="9"/>
      <c r="CV292" s="9"/>
      <c r="CW292" s="9"/>
      <c r="CX292" s="9"/>
      <c r="CY292" s="9"/>
      <c r="CZ292" s="9"/>
      <c r="DA292" s="9"/>
      <c r="DB292" s="9"/>
    </row>
    <row r="293" spans="1:106" ht="9.9499999999999993" customHeight="1" x14ac:dyDescent="0.25">
      <c r="A293" s="7"/>
      <c r="B293" s="7"/>
      <c r="C293" s="8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9"/>
      <c r="BC293" s="9"/>
      <c r="BD293" s="9"/>
      <c r="BE293" s="9"/>
      <c r="BF293" s="9"/>
      <c r="BG293" s="9"/>
      <c r="BH293" s="9"/>
      <c r="BI293" s="9"/>
      <c r="BJ293" s="9"/>
      <c r="BK293" s="9"/>
      <c r="BL293" s="9"/>
      <c r="BM293" s="9"/>
      <c r="BN293" s="9"/>
      <c r="BO293" s="9"/>
      <c r="BP293" s="9"/>
      <c r="BQ293" s="9"/>
      <c r="BR293" s="9"/>
      <c r="BS293" s="9"/>
      <c r="BT293" s="9"/>
      <c r="BU293" s="9"/>
      <c r="BV293" s="9"/>
      <c r="BW293" s="9"/>
      <c r="BX293" s="9"/>
      <c r="BY293" s="9"/>
      <c r="BZ293" s="9"/>
      <c r="CA293" s="9"/>
      <c r="CB293" s="9"/>
      <c r="CC293" s="9"/>
      <c r="CD293" s="9"/>
      <c r="CE293" s="9"/>
      <c r="CF293" s="9"/>
      <c r="CG293" s="9"/>
      <c r="CH293" s="9"/>
      <c r="CI293" s="9"/>
      <c r="CJ293" s="9"/>
      <c r="CK293" s="9"/>
      <c r="CL293" s="9"/>
      <c r="CM293" s="9"/>
      <c r="CN293" s="9"/>
      <c r="CO293" s="9"/>
      <c r="CP293" s="9"/>
      <c r="CQ293" s="9"/>
      <c r="CR293" s="9"/>
      <c r="CS293" s="9"/>
      <c r="CT293" s="9"/>
      <c r="CU293" s="9"/>
      <c r="CV293" s="9"/>
      <c r="CW293" s="9"/>
      <c r="CX293" s="9"/>
      <c r="CY293" s="9"/>
      <c r="CZ293" s="9"/>
      <c r="DA293" s="9"/>
      <c r="DB293" s="9"/>
    </row>
    <row r="294" spans="1:106" ht="9.9499999999999993" customHeight="1" x14ac:dyDescent="0.25">
      <c r="A294" s="7"/>
      <c r="B294" s="7"/>
      <c r="C294" s="8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9"/>
      <c r="BC294" s="9"/>
      <c r="BD294" s="9"/>
      <c r="BE294" s="9"/>
      <c r="BF294" s="9"/>
      <c r="BG294" s="9"/>
      <c r="BH294" s="9"/>
      <c r="BI294" s="9"/>
      <c r="BJ294" s="9"/>
      <c r="BK294" s="9"/>
      <c r="BL294" s="9"/>
      <c r="BM294" s="9"/>
      <c r="BN294" s="9"/>
      <c r="BO294" s="9"/>
      <c r="BP294" s="9"/>
      <c r="BQ294" s="9"/>
      <c r="BR294" s="9"/>
      <c r="BS294" s="9"/>
      <c r="BT294" s="9"/>
      <c r="BU294" s="9"/>
      <c r="BV294" s="9"/>
      <c r="BW294" s="9"/>
      <c r="BX294" s="9"/>
      <c r="BY294" s="9"/>
      <c r="BZ294" s="9"/>
      <c r="CA294" s="9"/>
      <c r="CB294" s="9"/>
      <c r="CC294" s="9"/>
      <c r="CD294" s="9"/>
      <c r="CE294" s="9"/>
      <c r="CF294" s="9"/>
      <c r="CG294" s="9"/>
      <c r="CH294" s="9"/>
      <c r="CI294" s="9"/>
      <c r="CJ294" s="9"/>
      <c r="CK294" s="9"/>
      <c r="CL294" s="9"/>
      <c r="CM294" s="9"/>
      <c r="CN294" s="9"/>
      <c r="CO294" s="9"/>
      <c r="CP294" s="9"/>
      <c r="CQ294" s="9"/>
      <c r="CR294" s="9"/>
      <c r="CS294" s="9"/>
      <c r="CT294" s="9"/>
      <c r="CU294" s="9"/>
      <c r="CV294" s="9"/>
      <c r="CW294" s="9"/>
      <c r="CX294" s="9"/>
      <c r="CY294" s="9"/>
      <c r="CZ294" s="9"/>
      <c r="DA294" s="9"/>
      <c r="DB294" s="9"/>
    </row>
    <row r="295" spans="1:106" ht="9.9499999999999993" customHeight="1" x14ac:dyDescent="0.25">
      <c r="A295" s="7"/>
      <c r="B295" s="7"/>
      <c r="C295" s="8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9"/>
      <c r="BC295" s="9"/>
      <c r="BD295" s="9"/>
      <c r="BE295" s="9"/>
      <c r="BF295" s="9"/>
      <c r="BG295" s="9"/>
      <c r="BH295" s="9"/>
      <c r="BI295" s="9"/>
      <c r="BJ295" s="9"/>
      <c r="BK295" s="9"/>
      <c r="BL295" s="9"/>
      <c r="BM295" s="9"/>
      <c r="BN295" s="9"/>
      <c r="BO295" s="9"/>
      <c r="BP295" s="9"/>
      <c r="BQ295" s="9"/>
      <c r="BR295" s="9"/>
      <c r="BS295" s="9"/>
      <c r="BT295" s="9"/>
      <c r="BU295" s="9"/>
      <c r="BV295" s="9"/>
      <c r="BW295" s="9"/>
      <c r="BX295" s="9"/>
      <c r="BY295" s="9"/>
      <c r="BZ295" s="9"/>
      <c r="CA295" s="9"/>
      <c r="CB295" s="9"/>
      <c r="CC295" s="9"/>
      <c r="CD295" s="9"/>
      <c r="CE295" s="9"/>
      <c r="CF295" s="9"/>
      <c r="CG295" s="9"/>
      <c r="CH295" s="9"/>
      <c r="CI295" s="9"/>
      <c r="CJ295" s="9"/>
      <c r="CK295" s="9"/>
      <c r="CL295" s="9"/>
      <c r="CM295" s="9"/>
      <c r="CN295" s="9"/>
      <c r="CO295" s="9"/>
      <c r="CP295" s="9"/>
      <c r="CQ295" s="9"/>
      <c r="CR295" s="9"/>
      <c r="CS295" s="9"/>
      <c r="CT295" s="9"/>
      <c r="CU295" s="9"/>
      <c r="CV295" s="9"/>
      <c r="CW295" s="9"/>
      <c r="CX295" s="9"/>
      <c r="CY295" s="9"/>
      <c r="CZ295" s="9"/>
      <c r="DA295" s="9"/>
      <c r="DB295" s="9"/>
    </row>
    <row r="296" spans="1:106" ht="9.9499999999999993" customHeight="1" x14ac:dyDescent="0.25">
      <c r="A296" s="7"/>
      <c r="B296" s="7"/>
      <c r="C296" s="8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9"/>
      <c r="BC296" s="9"/>
      <c r="BD296" s="9"/>
      <c r="BE296" s="9"/>
      <c r="BF296" s="9"/>
      <c r="BG296" s="9"/>
      <c r="BH296" s="9"/>
      <c r="BI296" s="9"/>
      <c r="BJ296" s="9"/>
      <c r="BK296" s="9"/>
      <c r="BL296" s="9"/>
      <c r="BM296" s="9"/>
      <c r="BN296" s="9"/>
      <c r="BO296" s="9"/>
      <c r="BP296" s="9"/>
      <c r="BQ296" s="9"/>
      <c r="BR296" s="9"/>
      <c r="BS296" s="9"/>
      <c r="BT296" s="9"/>
      <c r="BU296" s="9"/>
      <c r="BV296" s="9"/>
      <c r="BW296" s="9"/>
      <c r="BX296" s="9"/>
      <c r="BY296" s="9"/>
      <c r="BZ296" s="9"/>
      <c r="CA296" s="9"/>
      <c r="CB296" s="9"/>
      <c r="CC296" s="9"/>
      <c r="CD296" s="9"/>
      <c r="CE296" s="9"/>
      <c r="CF296" s="9"/>
      <c r="CG296" s="9"/>
      <c r="CH296" s="9"/>
      <c r="CI296" s="9"/>
      <c r="CJ296" s="9"/>
      <c r="CK296" s="9"/>
      <c r="CL296" s="9"/>
      <c r="CM296" s="9"/>
      <c r="CN296" s="9"/>
      <c r="CO296" s="9"/>
      <c r="CP296" s="9"/>
      <c r="CQ296" s="9"/>
      <c r="CR296" s="9"/>
      <c r="CS296" s="9"/>
      <c r="CT296" s="9"/>
      <c r="CU296" s="9"/>
      <c r="CV296" s="9"/>
      <c r="CW296" s="9"/>
      <c r="CX296" s="9"/>
      <c r="CY296" s="9"/>
      <c r="CZ296" s="9"/>
      <c r="DA296" s="9"/>
      <c r="DB296" s="9"/>
    </row>
    <row r="297" spans="1:106" ht="9.9499999999999993" customHeight="1" x14ac:dyDescent="0.25">
      <c r="A297" s="7"/>
      <c r="B297" s="7"/>
      <c r="C297" s="8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9"/>
      <c r="BC297" s="9"/>
      <c r="BD297" s="9"/>
      <c r="BE297" s="9"/>
      <c r="BF297" s="9"/>
      <c r="BG297" s="9"/>
      <c r="BH297" s="9"/>
      <c r="BI297" s="9"/>
      <c r="BJ297" s="9"/>
      <c r="BK297" s="9"/>
      <c r="BL297" s="9"/>
      <c r="BM297" s="9"/>
      <c r="BN297" s="9"/>
      <c r="BO297" s="9"/>
      <c r="BP297" s="9"/>
      <c r="BQ297" s="9"/>
      <c r="BR297" s="9"/>
      <c r="BS297" s="9"/>
      <c r="BT297" s="9"/>
      <c r="BU297" s="9"/>
      <c r="BV297" s="9"/>
      <c r="BW297" s="9"/>
      <c r="BX297" s="9"/>
      <c r="BY297" s="9"/>
      <c r="BZ297" s="9"/>
      <c r="CA297" s="9"/>
      <c r="CB297" s="9"/>
      <c r="CC297" s="9"/>
      <c r="CD297" s="9"/>
      <c r="CE297" s="9"/>
      <c r="CF297" s="9"/>
      <c r="CG297" s="9"/>
      <c r="CH297" s="9"/>
      <c r="CI297" s="9"/>
      <c r="CJ297" s="9"/>
      <c r="CK297" s="9"/>
      <c r="CL297" s="9"/>
      <c r="CM297" s="9"/>
      <c r="CN297" s="9"/>
      <c r="CO297" s="9"/>
      <c r="CP297" s="9"/>
      <c r="CQ297" s="9"/>
      <c r="CR297" s="9"/>
      <c r="CS297" s="9"/>
      <c r="CT297" s="9"/>
      <c r="CU297" s="9"/>
      <c r="CV297" s="9"/>
      <c r="CW297" s="9"/>
      <c r="CX297" s="9"/>
      <c r="CY297" s="9"/>
      <c r="CZ297" s="9"/>
      <c r="DA297" s="9"/>
      <c r="DB297" s="9"/>
    </row>
    <row r="298" spans="1:106" ht="9.9499999999999993" customHeight="1" x14ac:dyDescent="0.25">
      <c r="A298" s="7"/>
      <c r="B298" s="7"/>
      <c r="C298" s="8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9"/>
      <c r="BC298" s="9"/>
      <c r="BD298" s="9"/>
      <c r="BE298" s="9"/>
      <c r="BF298" s="9"/>
      <c r="BG298" s="9"/>
      <c r="BH298" s="9"/>
      <c r="BI298" s="9"/>
      <c r="BJ298" s="9"/>
      <c r="BK298" s="9"/>
      <c r="BL298" s="9"/>
      <c r="BM298" s="9"/>
      <c r="BN298" s="9"/>
      <c r="BO298" s="9"/>
      <c r="BP298" s="9"/>
      <c r="BQ298" s="9"/>
      <c r="BR298" s="9"/>
      <c r="BS298" s="9"/>
      <c r="BT298" s="9"/>
      <c r="BU298" s="9"/>
      <c r="BV298" s="9"/>
      <c r="BW298" s="9"/>
      <c r="BX298" s="9"/>
      <c r="BY298" s="9"/>
      <c r="BZ298" s="9"/>
      <c r="CA298" s="9"/>
      <c r="CB298" s="9"/>
      <c r="CC298" s="9"/>
      <c r="CD298" s="9"/>
      <c r="CE298" s="9"/>
      <c r="CF298" s="9"/>
      <c r="CG298" s="9"/>
      <c r="CH298" s="9"/>
      <c r="CI298" s="9"/>
      <c r="CJ298" s="9"/>
      <c r="CK298" s="9"/>
      <c r="CL298" s="9"/>
      <c r="CM298" s="9"/>
      <c r="CN298" s="9"/>
      <c r="CO298" s="9"/>
      <c r="CP298" s="9"/>
      <c r="CQ298" s="9"/>
      <c r="CR298" s="9"/>
      <c r="CS298" s="9"/>
      <c r="CT298" s="9"/>
      <c r="CU298" s="9"/>
      <c r="CV298" s="9"/>
      <c r="CW298" s="9"/>
      <c r="CX298" s="9"/>
      <c r="CY298" s="9"/>
      <c r="CZ298" s="9"/>
      <c r="DA298" s="9"/>
      <c r="DB298" s="9"/>
    </row>
    <row r="299" spans="1:106" ht="9.9499999999999993" customHeight="1" x14ac:dyDescent="0.25">
      <c r="A299" s="7"/>
      <c r="B299" s="7"/>
      <c r="C299" s="8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9"/>
      <c r="BC299" s="9"/>
      <c r="BD299" s="9"/>
      <c r="BE299" s="9"/>
      <c r="BF299" s="9"/>
      <c r="BG299" s="9"/>
      <c r="BH299" s="9"/>
      <c r="BI299" s="9"/>
      <c r="BJ299" s="9"/>
      <c r="BK299" s="9"/>
      <c r="BL299" s="9"/>
      <c r="BM299" s="9"/>
      <c r="BN299" s="9"/>
      <c r="BO299" s="9"/>
      <c r="BP299" s="9"/>
      <c r="BQ299" s="9"/>
      <c r="BR299" s="9"/>
      <c r="BS299" s="9"/>
      <c r="BT299" s="9"/>
      <c r="BU299" s="9"/>
      <c r="BV299" s="9"/>
      <c r="BW299" s="9"/>
      <c r="BX299" s="9"/>
      <c r="BY299" s="9"/>
      <c r="BZ299" s="9"/>
      <c r="CA299" s="9"/>
      <c r="CB299" s="9"/>
      <c r="CC299" s="9"/>
      <c r="CD299" s="9"/>
      <c r="CE299" s="9"/>
      <c r="CF299" s="9"/>
      <c r="CG299" s="9"/>
      <c r="CH299" s="9"/>
      <c r="CI299" s="9"/>
      <c r="CJ299" s="9"/>
      <c r="CK299" s="9"/>
      <c r="CL299" s="9"/>
      <c r="CM299" s="9"/>
      <c r="CN299" s="9"/>
      <c r="CO299" s="9"/>
      <c r="CP299" s="9"/>
      <c r="CQ299" s="9"/>
      <c r="CR299" s="9"/>
      <c r="CS299" s="9"/>
      <c r="CT299" s="9"/>
      <c r="CU299" s="9"/>
      <c r="CV299" s="9"/>
      <c r="CW299" s="9"/>
      <c r="CX299" s="9"/>
      <c r="CY299" s="9"/>
      <c r="CZ299" s="9"/>
      <c r="DA299" s="9"/>
      <c r="DB299" s="9"/>
    </row>
    <row r="300" spans="1:106" ht="9.9499999999999993" customHeight="1" x14ac:dyDescent="0.25">
      <c r="A300" s="7">
        <v>1</v>
      </c>
      <c r="B300" s="7"/>
      <c r="C300" s="8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>
        <v>1</v>
      </c>
      <c r="BB300" s="9">
        <v>1</v>
      </c>
      <c r="BC300" s="9"/>
      <c r="BD300" s="9"/>
      <c r="BE300" s="9"/>
      <c r="BF300" s="9"/>
      <c r="BG300" s="9"/>
      <c r="BH300" s="9"/>
      <c r="BI300" s="9"/>
      <c r="BJ300" s="9"/>
      <c r="BK300" s="9"/>
      <c r="BL300" s="9"/>
      <c r="BM300" s="9"/>
      <c r="BN300" s="9"/>
      <c r="BO300" s="9"/>
      <c r="BP300" s="9"/>
      <c r="BQ300" s="9"/>
      <c r="BR300" s="9"/>
      <c r="BS300" s="9"/>
      <c r="BT300" s="9"/>
      <c r="BU300" s="9"/>
      <c r="BV300" s="9"/>
      <c r="BW300" s="9"/>
      <c r="BX300" s="9"/>
      <c r="BY300" s="9"/>
      <c r="BZ300" s="9"/>
      <c r="CA300" s="9"/>
      <c r="CB300" s="9"/>
      <c r="CC300" s="9"/>
      <c r="CD300" s="9"/>
      <c r="CE300" s="9"/>
      <c r="CF300" s="9"/>
      <c r="CG300" s="9"/>
      <c r="CH300" s="9"/>
      <c r="CI300" s="9"/>
      <c r="CJ300" s="9"/>
      <c r="CK300" s="9"/>
      <c r="CL300" s="9"/>
      <c r="CM300" s="9"/>
      <c r="CN300" s="9"/>
      <c r="CO300" s="9"/>
      <c r="CP300" s="9"/>
      <c r="CQ300" s="9"/>
      <c r="CR300" s="9"/>
      <c r="CS300" s="9"/>
      <c r="CT300" s="9"/>
      <c r="CU300" s="9"/>
      <c r="CV300" s="9"/>
      <c r="CW300" s="9"/>
      <c r="CX300" s="9"/>
      <c r="CY300" s="9"/>
      <c r="CZ300" s="9"/>
      <c r="DA300" s="9"/>
      <c r="DB300" s="9">
        <v>1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B3F68-E884-47F7-AB38-C64B5C9A7980}">
  <sheetPr codeName="Planilha2"/>
  <dimension ref="A1:L71"/>
  <sheetViews>
    <sheetView showGridLines="0" tabSelected="1" workbookViewId="0">
      <pane ySplit="1" topLeftCell="A11" activePane="bottomLeft" state="frozen"/>
      <selection pane="bottomLeft" activeCell="A42" sqref="A42:K42"/>
    </sheetView>
  </sheetViews>
  <sheetFormatPr defaultRowHeight="15" x14ac:dyDescent="0.25"/>
  <cols>
    <col min="1" max="1" width="15.7109375" style="3" customWidth="1"/>
    <col min="2" max="2" width="19.140625" style="2" customWidth="1"/>
    <col min="3" max="3" width="35.5703125" style="3" bestFit="1" customWidth="1"/>
    <col min="4" max="4" width="47.5703125" style="3" customWidth="1"/>
    <col min="5" max="5" width="15.7109375" style="3" customWidth="1"/>
    <col min="6" max="6" width="18.28515625" style="1" bestFit="1" customWidth="1"/>
    <col min="7" max="7" width="15.7109375" style="1" customWidth="1"/>
    <col min="8" max="8" width="16.42578125" style="1" bestFit="1" customWidth="1"/>
    <col min="9" max="9" width="9.5703125" style="10" bestFit="1" customWidth="1"/>
    <col min="10" max="10" width="11.140625" bestFit="1" customWidth="1"/>
    <col min="11" max="11" width="10.7109375" style="18" bestFit="1" customWidth="1"/>
    <col min="12" max="12" width="9.140625" style="18"/>
  </cols>
  <sheetData>
    <row r="1" spans="1:12" s="3" customFormat="1" ht="51" customHeight="1" x14ac:dyDescent="0.25">
      <c r="A1" s="3" t="s">
        <v>5</v>
      </c>
      <c r="B1" s="2" t="s">
        <v>0</v>
      </c>
      <c r="C1" s="3" t="s">
        <v>1</v>
      </c>
      <c r="D1" s="3" t="s">
        <v>2</v>
      </c>
      <c r="E1" s="3" t="s">
        <v>3</v>
      </c>
      <c r="F1" s="3" t="s">
        <v>6</v>
      </c>
      <c r="G1" s="3" t="s">
        <v>4</v>
      </c>
      <c r="H1" s="3" t="s">
        <v>9</v>
      </c>
      <c r="I1" s="13" t="s">
        <v>10</v>
      </c>
      <c r="J1" s="3" t="s">
        <v>146</v>
      </c>
      <c r="K1" s="25" t="s">
        <v>148</v>
      </c>
      <c r="L1" s="15"/>
    </row>
    <row r="2" spans="1:12" s="1" customFormat="1" x14ac:dyDescent="0.25">
      <c r="A2" s="3">
        <v>1</v>
      </c>
      <c r="B2" s="2">
        <v>45748</v>
      </c>
      <c r="C2" s="4" t="s">
        <v>31</v>
      </c>
      <c r="D2" s="4" t="s">
        <v>32</v>
      </c>
      <c r="E2" s="3" t="str">
        <f t="shared" ref="E2:E30" si="0">IF(A2&lt;&gt;"","A REALIZAR","")</f>
        <v>A REALIZAR</v>
      </c>
      <c r="F2" s="1" t="s">
        <v>7</v>
      </c>
      <c r="G2" s="1" t="s">
        <v>8</v>
      </c>
      <c r="H2" s="1" t="s">
        <v>29</v>
      </c>
      <c r="I2" s="14" t="str">
        <f t="shared" ref="I2:I30" si="1">IF(B2="", "", TEXT(B2,"mm") &amp; " - " &amp; UPPER(TEXT(B2,"mmmm")))</f>
        <v>04 - ABRIL</v>
      </c>
      <c r="K2" s="16" t="s">
        <v>15</v>
      </c>
      <c r="L2" s="16"/>
    </row>
    <row r="3" spans="1:12" s="1" customFormat="1" x14ac:dyDescent="0.25">
      <c r="A3" s="3">
        <v>2</v>
      </c>
      <c r="B3" s="22">
        <v>45748</v>
      </c>
      <c r="C3" s="4" t="s">
        <v>33</v>
      </c>
      <c r="D3" s="4" t="s">
        <v>34</v>
      </c>
      <c r="E3" s="3" t="str">
        <f t="shared" si="0"/>
        <v>A REALIZAR</v>
      </c>
      <c r="F3" s="1" t="s">
        <v>7</v>
      </c>
      <c r="G3" s="1" t="s">
        <v>8</v>
      </c>
      <c r="H3" s="1" t="s">
        <v>30</v>
      </c>
      <c r="I3" s="14" t="str">
        <f t="shared" si="1"/>
        <v>04 - ABRIL</v>
      </c>
      <c r="K3" s="16" t="s">
        <v>15</v>
      </c>
      <c r="L3" s="16"/>
    </row>
    <row r="4" spans="1:12" x14ac:dyDescent="0.25">
      <c r="A4" s="3">
        <v>3</v>
      </c>
      <c r="B4" s="22">
        <v>45748</v>
      </c>
      <c r="C4" s="4" t="s">
        <v>35</v>
      </c>
      <c r="D4" s="4" t="s">
        <v>36</v>
      </c>
      <c r="E4" s="3" t="str">
        <f t="shared" si="0"/>
        <v>A REALIZAR</v>
      </c>
      <c r="F4" s="1" t="s">
        <v>7</v>
      </c>
      <c r="G4" s="1" t="s">
        <v>8</v>
      </c>
      <c r="H4" s="1" t="s">
        <v>30</v>
      </c>
      <c r="I4" s="14" t="str">
        <f t="shared" si="1"/>
        <v>04 - ABRIL</v>
      </c>
      <c r="J4" s="1"/>
      <c r="K4" s="16" t="s">
        <v>15</v>
      </c>
      <c r="L4" s="17"/>
    </row>
    <row r="5" spans="1:12" x14ac:dyDescent="0.25">
      <c r="A5" s="3">
        <v>4</v>
      </c>
      <c r="B5" s="22">
        <v>45748</v>
      </c>
      <c r="C5" s="4" t="s">
        <v>37</v>
      </c>
      <c r="D5" s="4" t="s">
        <v>38</v>
      </c>
      <c r="E5" s="3" t="str">
        <f t="shared" si="0"/>
        <v>A REALIZAR</v>
      </c>
      <c r="F5" s="1" t="s">
        <v>7</v>
      </c>
      <c r="G5" s="1" t="s">
        <v>8</v>
      </c>
      <c r="H5" s="1" t="s">
        <v>29</v>
      </c>
      <c r="I5" s="14" t="str">
        <f t="shared" si="1"/>
        <v>04 - ABRIL</v>
      </c>
      <c r="J5" s="1"/>
      <c r="K5" s="16" t="s">
        <v>15</v>
      </c>
      <c r="L5" s="17"/>
    </row>
    <row r="6" spans="1:12" x14ac:dyDescent="0.25">
      <c r="A6" s="3">
        <v>5</v>
      </c>
      <c r="B6" s="22">
        <v>45748</v>
      </c>
      <c r="C6" s="4" t="s">
        <v>39</v>
      </c>
      <c r="D6" s="4" t="s">
        <v>40</v>
      </c>
      <c r="E6" s="3" t="str">
        <f t="shared" si="0"/>
        <v>A REALIZAR</v>
      </c>
      <c r="F6" s="1" t="s">
        <v>7</v>
      </c>
      <c r="G6" s="1" t="s">
        <v>8</v>
      </c>
      <c r="H6" s="1" t="s">
        <v>29</v>
      </c>
      <c r="I6" s="14" t="str">
        <f t="shared" si="1"/>
        <v>04 - ABRIL</v>
      </c>
      <c r="J6" s="1"/>
      <c r="K6" s="16" t="s">
        <v>15</v>
      </c>
      <c r="L6" s="17"/>
    </row>
    <row r="7" spans="1:12" x14ac:dyDescent="0.25">
      <c r="A7" s="3">
        <v>6</v>
      </c>
      <c r="B7" s="22">
        <v>45748</v>
      </c>
      <c r="C7" s="4" t="s">
        <v>41</v>
      </c>
      <c r="D7" s="4" t="s">
        <v>42</v>
      </c>
      <c r="E7" s="3" t="str">
        <f t="shared" si="0"/>
        <v>A REALIZAR</v>
      </c>
      <c r="F7" s="1" t="s">
        <v>7</v>
      </c>
      <c r="G7" s="1" t="s">
        <v>8</v>
      </c>
      <c r="H7" s="1" t="s">
        <v>29</v>
      </c>
      <c r="I7" s="14" t="str">
        <f t="shared" si="1"/>
        <v>04 - ABRIL</v>
      </c>
      <c r="J7" s="1"/>
      <c r="K7" s="16" t="s">
        <v>15</v>
      </c>
      <c r="L7" s="17"/>
    </row>
    <row r="8" spans="1:12" x14ac:dyDescent="0.25">
      <c r="A8" s="3">
        <v>7</v>
      </c>
      <c r="B8" s="22">
        <v>45748</v>
      </c>
      <c r="C8" s="4" t="s">
        <v>43</v>
      </c>
      <c r="D8" s="4" t="s">
        <v>44</v>
      </c>
      <c r="E8" s="3" t="str">
        <f t="shared" si="0"/>
        <v>A REALIZAR</v>
      </c>
      <c r="F8" s="1" t="s">
        <v>7</v>
      </c>
      <c r="G8" s="1" t="s">
        <v>8</v>
      </c>
      <c r="H8" s="1" t="s">
        <v>29</v>
      </c>
      <c r="I8" s="14" t="str">
        <f t="shared" si="1"/>
        <v>04 - ABRIL</v>
      </c>
      <c r="J8" s="1"/>
      <c r="K8" s="16" t="s">
        <v>15</v>
      </c>
      <c r="L8" s="17"/>
    </row>
    <row r="9" spans="1:12" x14ac:dyDescent="0.25">
      <c r="A9" s="3">
        <v>8</v>
      </c>
      <c r="B9" s="22">
        <v>45748</v>
      </c>
      <c r="C9" s="4" t="s">
        <v>45</v>
      </c>
      <c r="D9" s="4" t="s">
        <v>46</v>
      </c>
      <c r="E9" s="3" t="str">
        <f t="shared" si="0"/>
        <v>A REALIZAR</v>
      </c>
      <c r="F9" s="1" t="s">
        <v>7</v>
      </c>
      <c r="G9" s="1" t="s">
        <v>8</v>
      </c>
      <c r="H9" s="1" t="s">
        <v>29</v>
      </c>
      <c r="I9" s="14" t="str">
        <f t="shared" si="1"/>
        <v>04 - ABRIL</v>
      </c>
      <c r="J9" s="1"/>
      <c r="K9" s="16" t="s">
        <v>15</v>
      </c>
      <c r="L9" s="17"/>
    </row>
    <row r="10" spans="1:12" x14ac:dyDescent="0.25">
      <c r="A10" s="3">
        <v>9</v>
      </c>
      <c r="B10" s="22">
        <v>45748</v>
      </c>
      <c r="C10" s="4" t="s">
        <v>47</v>
      </c>
      <c r="D10" s="4" t="s">
        <v>48</v>
      </c>
      <c r="E10" s="3" t="str">
        <f t="shared" si="0"/>
        <v>A REALIZAR</v>
      </c>
      <c r="F10" s="1" t="s">
        <v>7</v>
      </c>
      <c r="G10" s="1" t="s">
        <v>8</v>
      </c>
      <c r="H10" s="1" t="s">
        <v>29</v>
      </c>
      <c r="I10" s="14" t="str">
        <f t="shared" si="1"/>
        <v>04 - ABRIL</v>
      </c>
      <c r="J10" s="1"/>
      <c r="K10" s="16" t="s">
        <v>15</v>
      </c>
      <c r="L10" s="17"/>
    </row>
    <row r="11" spans="1:12" x14ac:dyDescent="0.25">
      <c r="A11" s="3">
        <v>10</v>
      </c>
      <c r="B11" s="22">
        <v>45748</v>
      </c>
      <c r="C11" s="4" t="s">
        <v>49</v>
      </c>
      <c r="D11" s="4" t="s">
        <v>50</v>
      </c>
      <c r="E11" s="3" t="str">
        <f t="shared" si="0"/>
        <v>A REALIZAR</v>
      </c>
      <c r="F11" s="1" t="s">
        <v>7</v>
      </c>
      <c r="G11" s="1" t="s">
        <v>8</v>
      </c>
      <c r="H11" s="1" t="s">
        <v>29</v>
      </c>
      <c r="I11" s="14" t="str">
        <f t="shared" si="1"/>
        <v>04 - ABRIL</v>
      </c>
      <c r="J11" s="1"/>
      <c r="K11" s="16" t="s">
        <v>15</v>
      </c>
      <c r="L11" s="17"/>
    </row>
    <row r="12" spans="1:12" x14ac:dyDescent="0.25">
      <c r="A12" s="3">
        <v>11</v>
      </c>
      <c r="B12" s="22">
        <v>45748</v>
      </c>
      <c r="C12" s="4" t="s">
        <v>180</v>
      </c>
      <c r="D12" s="4" t="s">
        <v>51</v>
      </c>
      <c r="E12" s="3" t="str">
        <f t="shared" si="0"/>
        <v>A REALIZAR</v>
      </c>
      <c r="F12" s="1" t="s">
        <v>7</v>
      </c>
      <c r="G12" s="1" t="s">
        <v>8</v>
      </c>
      <c r="H12" s="1" t="s">
        <v>29</v>
      </c>
      <c r="I12" s="14" t="str">
        <f t="shared" si="1"/>
        <v>04 - ABRIL</v>
      </c>
      <c r="J12" s="1"/>
      <c r="K12" s="16" t="s">
        <v>15</v>
      </c>
      <c r="L12" s="17"/>
    </row>
    <row r="13" spans="1:12" x14ac:dyDescent="0.25">
      <c r="A13" s="3">
        <v>12</v>
      </c>
      <c r="B13" s="22">
        <v>45748</v>
      </c>
      <c r="C13" s="4" t="s">
        <v>52</v>
      </c>
      <c r="D13" s="4" t="s">
        <v>53</v>
      </c>
      <c r="E13" s="3" t="str">
        <f t="shared" si="0"/>
        <v>A REALIZAR</v>
      </c>
      <c r="F13" s="1" t="s">
        <v>26</v>
      </c>
      <c r="G13" s="1" t="s">
        <v>8</v>
      </c>
      <c r="H13" s="1" t="s">
        <v>29</v>
      </c>
      <c r="I13" s="14" t="str">
        <f t="shared" si="1"/>
        <v>04 - ABRIL</v>
      </c>
      <c r="J13" s="1"/>
      <c r="K13" s="16" t="s">
        <v>15</v>
      </c>
      <c r="L13" s="17"/>
    </row>
    <row r="14" spans="1:12" x14ac:dyDescent="0.25">
      <c r="A14" s="3">
        <v>13</v>
      </c>
      <c r="B14" s="22">
        <v>45748</v>
      </c>
      <c r="C14" s="4" t="s">
        <v>54</v>
      </c>
      <c r="D14" s="4" t="s">
        <v>55</v>
      </c>
      <c r="E14" s="3" t="str">
        <f t="shared" si="0"/>
        <v>A REALIZAR</v>
      </c>
      <c r="F14" s="1" t="s">
        <v>7</v>
      </c>
      <c r="G14" s="1" t="s">
        <v>8</v>
      </c>
      <c r="H14" s="1" t="s">
        <v>30</v>
      </c>
      <c r="I14" s="14" t="str">
        <f t="shared" si="1"/>
        <v>04 - ABRIL</v>
      </c>
      <c r="J14" s="1"/>
      <c r="K14" s="16" t="s">
        <v>15</v>
      </c>
      <c r="L14" s="17"/>
    </row>
    <row r="15" spans="1:12" x14ac:dyDescent="0.25">
      <c r="A15" s="3">
        <v>16</v>
      </c>
      <c r="B15" s="22">
        <v>45748</v>
      </c>
      <c r="C15" s="4" t="s">
        <v>60</v>
      </c>
      <c r="D15" s="4" t="s">
        <v>61</v>
      </c>
      <c r="E15" s="3" t="str">
        <f t="shared" si="0"/>
        <v>A REALIZAR</v>
      </c>
      <c r="F15" s="1" t="s">
        <v>7</v>
      </c>
      <c r="G15" s="1" t="s">
        <v>8</v>
      </c>
      <c r="H15" s="1" t="s">
        <v>29</v>
      </c>
      <c r="I15" s="14" t="str">
        <f t="shared" si="1"/>
        <v>04 - ABRIL</v>
      </c>
      <c r="J15" s="1"/>
      <c r="K15" s="16" t="s">
        <v>15</v>
      </c>
      <c r="L15" s="17"/>
    </row>
    <row r="16" spans="1:12" x14ac:dyDescent="0.25">
      <c r="A16" s="3">
        <v>17</v>
      </c>
      <c r="B16" s="22">
        <v>45748</v>
      </c>
      <c r="C16" s="4" t="s">
        <v>62</v>
      </c>
      <c r="D16" s="4" t="s">
        <v>63</v>
      </c>
      <c r="E16" s="3" t="str">
        <f t="shared" si="0"/>
        <v>A REALIZAR</v>
      </c>
      <c r="F16" s="1" t="s">
        <v>7</v>
      </c>
      <c r="G16" s="1" t="s">
        <v>8</v>
      </c>
      <c r="H16" s="1" t="s">
        <v>29</v>
      </c>
      <c r="I16" s="14" t="str">
        <f t="shared" si="1"/>
        <v>04 - ABRIL</v>
      </c>
      <c r="J16" s="1"/>
      <c r="K16" s="16" t="s">
        <v>15</v>
      </c>
      <c r="L16" s="17"/>
    </row>
    <row r="17" spans="1:12" x14ac:dyDescent="0.25">
      <c r="A17" s="3">
        <v>18</v>
      </c>
      <c r="B17" s="22">
        <v>45748</v>
      </c>
      <c r="C17" s="4" t="s">
        <v>64</v>
      </c>
      <c r="D17" s="4" t="s">
        <v>65</v>
      </c>
      <c r="E17" s="3" t="str">
        <f t="shared" si="0"/>
        <v>A REALIZAR</v>
      </c>
      <c r="F17" s="1" t="s">
        <v>7</v>
      </c>
      <c r="G17" s="1" t="s">
        <v>8</v>
      </c>
      <c r="H17" s="1" t="s">
        <v>29</v>
      </c>
      <c r="I17" s="14" t="str">
        <f t="shared" si="1"/>
        <v>04 - ABRIL</v>
      </c>
      <c r="J17" s="1"/>
      <c r="K17" s="16" t="s">
        <v>15</v>
      </c>
      <c r="L17" s="17"/>
    </row>
    <row r="18" spans="1:12" x14ac:dyDescent="0.25">
      <c r="A18" s="3">
        <v>19</v>
      </c>
      <c r="B18" s="22">
        <v>45748</v>
      </c>
      <c r="C18" s="4" t="s">
        <v>66</v>
      </c>
      <c r="D18" s="4" t="s">
        <v>67</v>
      </c>
      <c r="E18" s="3" t="str">
        <f t="shared" si="0"/>
        <v>A REALIZAR</v>
      </c>
      <c r="F18" s="1" t="s">
        <v>7</v>
      </c>
      <c r="G18" s="1" t="s">
        <v>8</v>
      </c>
      <c r="H18" s="1" t="s">
        <v>29</v>
      </c>
      <c r="I18" s="14" t="str">
        <f t="shared" si="1"/>
        <v>04 - ABRIL</v>
      </c>
      <c r="J18" s="1"/>
      <c r="K18" s="16" t="s">
        <v>15</v>
      </c>
      <c r="L18" s="17"/>
    </row>
    <row r="19" spans="1:12" x14ac:dyDescent="0.25">
      <c r="A19" s="3">
        <v>20</v>
      </c>
      <c r="B19" s="22">
        <v>45748</v>
      </c>
      <c r="C19" s="4" t="s">
        <v>68</v>
      </c>
      <c r="D19" s="4" t="s">
        <v>69</v>
      </c>
      <c r="E19" s="3" t="str">
        <f t="shared" si="0"/>
        <v>A REALIZAR</v>
      </c>
      <c r="F19" s="1" t="s">
        <v>7</v>
      </c>
      <c r="G19" s="1" t="s">
        <v>8</v>
      </c>
      <c r="H19" s="1" t="s">
        <v>29</v>
      </c>
      <c r="I19" s="14" t="str">
        <f t="shared" si="1"/>
        <v>04 - ABRIL</v>
      </c>
      <c r="J19" s="1"/>
      <c r="K19" s="16" t="s">
        <v>15</v>
      </c>
      <c r="L19" s="17"/>
    </row>
    <row r="20" spans="1:12" x14ac:dyDescent="0.25">
      <c r="A20" s="3">
        <v>21</v>
      </c>
      <c r="B20" s="22">
        <v>45748</v>
      </c>
      <c r="C20" s="4" t="s">
        <v>70</v>
      </c>
      <c r="D20" s="4" t="s">
        <v>71</v>
      </c>
      <c r="E20" s="3" t="str">
        <f t="shared" si="0"/>
        <v>A REALIZAR</v>
      </c>
      <c r="F20" s="1" t="s">
        <v>7</v>
      </c>
      <c r="G20" s="1" t="s">
        <v>8</v>
      </c>
      <c r="H20" s="1" t="s">
        <v>29</v>
      </c>
      <c r="I20" s="14" t="str">
        <f t="shared" si="1"/>
        <v>04 - ABRIL</v>
      </c>
      <c r="J20" s="1"/>
      <c r="K20" s="16" t="s">
        <v>15</v>
      </c>
      <c r="L20" s="17"/>
    </row>
    <row r="21" spans="1:12" x14ac:dyDescent="0.25">
      <c r="A21" s="3">
        <v>22</v>
      </c>
      <c r="B21" s="22">
        <v>45748</v>
      </c>
      <c r="C21" s="4" t="s">
        <v>72</v>
      </c>
      <c r="D21" s="4" t="s">
        <v>73</v>
      </c>
      <c r="E21" s="3" t="str">
        <f t="shared" si="0"/>
        <v>A REALIZAR</v>
      </c>
      <c r="F21" s="1" t="s">
        <v>7</v>
      </c>
      <c r="G21" s="1" t="s">
        <v>8</v>
      </c>
      <c r="H21" s="1" t="s">
        <v>29</v>
      </c>
      <c r="I21" s="14" t="str">
        <f t="shared" si="1"/>
        <v>04 - ABRIL</v>
      </c>
      <c r="J21" s="1"/>
      <c r="K21" s="16" t="s">
        <v>15</v>
      </c>
      <c r="L21" s="17"/>
    </row>
    <row r="22" spans="1:12" x14ac:dyDescent="0.25">
      <c r="A22" s="3">
        <v>23</v>
      </c>
      <c r="B22" s="22">
        <v>45748</v>
      </c>
      <c r="C22" s="4" t="s">
        <v>74</v>
      </c>
      <c r="D22" s="4" t="s">
        <v>75</v>
      </c>
      <c r="E22" s="3" t="str">
        <f t="shared" si="0"/>
        <v>A REALIZAR</v>
      </c>
      <c r="F22" s="1" t="s">
        <v>7</v>
      </c>
      <c r="G22" s="1" t="s">
        <v>8</v>
      </c>
      <c r="H22" s="1" t="s">
        <v>30</v>
      </c>
      <c r="I22" s="14" t="str">
        <f t="shared" si="1"/>
        <v>04 - ABRIL</v>
      </c>
      <c r="J22" s="1"/>
      <c r="K22" s="16" t="s">
        <v>15</v>
      </c>
      <c r="L22" s="17"/>
    </row>
    <row r="23" spans="1:12" x14ac:dyDescent="0.25">
      <c r="A23" s="3">
        <v>24</v>
      </c>
      <c r="B23" s="22">
        <v>45748</v>
      </c>
      <c r="C23" s="4" t="s">
        <v>76</v>
      </c>
      <c r="D23" s="4" t="s">
        <v>77</v>
      </c>
      <c r="E23" s="3" t="str">
        <f t="shared" si="0"/>
        <v>A REALIZAR</v>
      </c>
      <c r="F23" s="1" t="s">
        <v>7</v>
      </c>
      <c r="G23" s="1" t="s">
        <v>8</v>
      </c>
      <c r="H23" s="1" t="s">
        <v>30</v>
      </c>
      <c r="I23" s="14" t="str">
        <f t="shared" si="1"/>
        <v>04 - ABRIL</v>
      </c>
      <c r="J23" s="1"/>
      <c r="K23" s="16" t="s">
        <v>15</v>
      </c>
      <c r="L23" s="17"/>
    </row>
    <row r="24" spans="1:12" x14ac:dyDescent="0.25">
      <c r="A24" s="3">
        <v>25</v>
      </c>
      <c r="B24" s="22">
        <v>45748</v>
      </c>
      <c r="C24" s="4" t="s">
        <v>78</v>
      </c>
      <c r="D24" s="4" t="s">
        <v>79</v>
      </c>
      <c r="E24" s="3" t="str">
        <f t="shared" si="0"/>
        <v>A REALIZAR</v>
      </c>
      <c r="F24" s="1" t="s">
        <v>7</v>
      </c>
      <c r="G24" s="1" t="s">
        <v>8</v>
      </c>
      <c r="H24" s="1" t="s">
        <v>29</v>
      </c>
      <c r="I24" s="14" t="str">
        <f t="shared" si="1"/>
        <v>04 - ABRIL</v>
      </c>
      <c r="J24" s="1"/>
      <c r="K24" s="16" t="s">
        <v>15</v>
      </c>
      <c r="L24" s="17"/>
    </row>
    <row r="25" spans="1:12" x14ac:dyDescent="0.25">
      <c r="A25" s="3">
        <v>26</v>
      </c>
      <c r="B25" s="22">
        <v>45748</v>
      </c>
      <c r="C25" s="4" t="s">
        <v>80</v>
      </c>
      <c r="D25" s="4" t="s">
        <v>81</v>
      </c>
      <c r="E25" s="3" t="str">
        <f t="shared" si="0"/>
        <v>A REALIZAR</v>
      </c>
      <c r="F25" s="1" t="s">
        <v>7</v>
      </c>
      <c r="G25" s="1" t="s">
        <v>8</v>
      </c>
      <c r="H25" s="1" t="s">
        <v>29</v>
      </c>
      <c r="I25" s="14" t="str">
        <f t="shared" si="1"/>
        <v>04 - ABRIL</v>
      </c>
      <c r="J25" s="1"/>
      <c r="K25" s="16" t="s">
        <v>15</v>
      </c>
      <c r="L25" s="17"/>
    </row>
    <row r="26" spans="1:12" x14ac:dyDescent="0.25">
      <c r="A26" s="3">
        <v>27</v>
      </c>
      <c r="B26" s="22">
        <v>45748</v>
      </c>
      <c r="C26" s="4" t="s">
        <v>82</v>
      </c>
      <c r="D26" s="4" t="s">
        <v>83</v>
      </c>
      <c r="E26" s="3" t="str">
        <f t="shared" si="0"/>
        <v>A REALIZAR</v>
      </c>
      <c r="F26" s="1" t="s">
        <v>7</v>
      </c>
      <c r="G26" s="1" t="s">
        <v>8</v>
      </c>
      <c r="H26" s="1" t="s">
        <v>29</v>
      </c>
      <c r="I26" s="14" t="str">
        <f t="shared" si="1"/>
        <v>04 - ABRIL</v>
      </c>
      <c r="J26" s="1"/>
      <c r="K26" s="16" t="s">
        <v>15</v>
      </c>
      <c r="L26" s="17"/>
    </row>
    <row r="27" spans="1:12" x14ac:dyDescent="0.25">
      <c r="A27" s="3">
        <v>28</v>
      </c>
      <c r="B27" s="22">
        <v>45748</v>
      </c>
      <c r="C27" s="4" t="s">
        <v>84</v>
      </c>
      <c r="D27" s="4" t="s">
        <v>85</v>
      </c>
      <c r="E27" s="3" t="str">
        <f t="shared" si="0"/>
        <v>A REALIZAR</v>
      </c>
      <c r="F27" s="1" t="s">
        <v>7</v>
      </c>
      <c r="G27" s="1" t="s">
        <v>8</v>
      </c>
      <c r="H27" s="1" t="s">
        <v>30</v>
      </c>
      <c r="I27" s="14" t="str">
        <f t="shared" si="1"/>
        <v>04 - ABRIL</v>
      </c>
      <c r="J27" s="1"/>
      <c r="K27" s="16" t="s">
        <v>15</v>
      </c>
      <c r="L27" s="17"/>
    </row>
    <row r="28" spans="1:12" x14ac:dyDescent="0.25">
      <c r="A28" s="3">
        <v>29</v>
      </c>
      <c r="B28" s="22">
        <v>45748</v>
      </c>
      <c r="C28" s="4" t="s">
        <v>86</v>
      </c>
      <c r="D28" s="4" t="s">
        <v>87</v>
      </c>
      <c r="E28" s="3" t="str">
        <f t="shared" si="0"/>
        <v>A REALIZAR</v>
      </c>
      <c r="F28" s="1" t="s">
        <v>7</v>
      </c>
      <c r="G28" s="1" t="s">
        <v>8</v>
      </c>
      <c r="H28" s="1" t="s">
        <v>29</v>
      </c>
      <c r="I28" s="14" t="str">
        <f t="shared" si="1"/>
        <v>04 - ABRIL</v>
      </c>
      <c r="J28" s="1"/>
      <c r="K28" s="16" t="s">
        <v>15</v>
      </c>
      <c r="L28" s="17"/>
    </row>
    <row r="29" spans="1:12" x14ac:dyDescent="0.25">
      <c r="A29" s="3">
        <v>33</v>
      </c>
      <c r="B29" s="22">
        <v>45748</v>
      </c>
      <c r="C29" s="4" t="s">
        <v>94</v>
      </c>
      <c r="D29" s="4" t="s">
        <v>95</v>
      </c>
      <c r="E29" s="3" t="str">
        <f t="shared" si="0"/>
        <v>A REALIZAR</v>
      </c>
      <c r="F29" s="1" t="s">
        <v>7</v>
      </c>
      <c r="G29" s="1" t="s">
        <v>27</v>
      </c>
      <c r="H29" s="1" t="s">
        <v>29</v>
      </c>
      <c r="I29" s="14" t="str">
        <f t="shared" si="1"/>
        <v>04 - ABRIL</v>
      </c>
      <c r="J29" s="1"/>
      <c r="K29" s="16" t="s">
        <v>15</v>
      </c>
      <c r="L29" s="17"/>
    </row>
    <row r="30" spans="1:12" x14ac:dyDescent="0.25">
      <c r="A30" s="3">
        <v>34</v>
      </c>
      <c r="B30" s="22">
        <v>45748</v>
      </c>
      <c r="C30" s="4" t="s">
        <v>96</v>
      </c>
      <c r="D30" s="4" t="s">
        <v>98</v>
      </c>
      <c r="E30" s="3" t="str">
        <f t="shared" si="0"/>
        <v>A REALIZAR</v>
      </c>
      <c r="F30" s="1" t="s">
        <v>7</v>
      </c>
      <c r="G30" s="1" t="s">
        <v>8</v>
      </c>
      <c r="H30" s="1" t="s">
        <v>30</v>
      </c>
      <c r="I30" s="14" t="str">
        <f t="shared" si="1"/>
        <v>04 - ABRIL</v>
      </c>
      <c r="J30" s="1"/>
      <c r="K30" s="16" t="s">
        <v>15</v>
      </c>
      <c r="L30" s="17"/>
    </row>
    <row r="31" spans="1:12" x14ac:dyDescent="0.25">
      <c r="A31" s="3">
        <v>35</v>
      </c>
      <c r="B31" s="22">
        <v>45748</v>
      </c>
      <c r="C31" s="4" t="s">
        <v>97</v>
      </c>
      <c r="D31" s="4" t="s">
        <v>99</v>
      </c>
      <c r="E31" s="3" t="str">
        <f t="shared" ref="E31:E40" si="2">IF(A31&lt;&gt;"","A REALIZAR","")</f>
        <v>A REALIZAR</v>
      </c>
      <c r="F31" s="1" t="s">
        <v>7</v>
      </c>
      <c r="G31" s="1" t="s">
        <v>27</v>
      </c>
      <c r="H31" s="1" t="s">
        <v>30</v>
      </c>
      <c r="I31" s="14" t="str">
        <f t="shared" ref="I31:I40" si="3">IF(B31="", "", TEXT(B31,"mm") &amp; " - " &amp; UPPER(TEXT(B31,"mmmm")))</f>
        <v>04 - ABRIL</v>
      </c>
      <c r="J31" s="1"/>
      <c r="K31" s="16" t="s">
        <v>15</v>
      </c>
      <c r="L31" s="17"/>
    </row>
    <row r="32" spans="1:12" x14ac:dyDescent="0.25">
      <c r="A32" s="3">
        <v>36</v>
      </c>
      <c r="B32" s="22">
        <v>45748</v>
      </c>
      <c r="C32" s="4" t="s">
        <v>100</v>
      </c>
      <c r="D32" s="4" t="s">
        <v>101</v>
      </c>
      <c r="E32" s="3" t="str">
        <f t="shared" si="2"/>
        <v>A REALIZAR</v>
      </c>
      <c r="F32" s="1" t="s">
        <v>7</v>
      </c>
      <c r="G32" s="1" t="s">
        <v>8</v>
      </c>
      <c r="H32" s="1" t="s">
        <v>29</v>
      </c>
      <c r="I32" s="14" t="str">
        <f t="shared" si="3"/>
        <v>04 - ABRIL</v>
      </c>
      <c r="J32" s="1"/>
      <c r="K32" s="16" t="s">
        <v>15</v>
      </c>
      <c r="L32" s="17"/>
    </row>
    <row r="33" spans="1:12" x14ac:dyDescent="0.25">
      <c r="A33" s="3">
        <v>37</v>
      </c>
      <c r="B33" s="22">
        <v>45748</v>
      </c>
      <c r="C33" s="4" t="s">
        <v>102</v>
      </c>
      <c r="D33" s="4" t="s">
        <v>103</v>
      </c>
      <c r="E33" s="3" t="str">
        <f t="shared" si="2"/>
        <v>A REALIZAR</v>
      </c>
      <c r="F33" s="1" t="s">
        <v>7</v>
      </c>
      <c r="G33" s="1" t="s">
        <v>8</v>
      </c>
      <c r="H33" s="1" t="s">
        <v>29</v>
      </c>
      <c r="I33" s="14" t="str">
        <f t="shared" si="3"/>
        <v>04 - ABRIL</v>
      </c>
      <c r="J33" s="1"/>
      <c r="K33" s="16" t="s">
        <v>15</v>
      </c>
      <c r="L33" s="17"/>
    </row>
    <row r="34" spans="1:12" x14ac:dyDescent="0.25">
      <c r="A34" s="3">
        <v>38</v>
      </c>
      <c r="B34" s="22">
        <v>45748</v>
      </c>
      <c r="C34" s="4" t="s">
        <v>104</v>
      </c>
      <c r="D34" s="4" t="s">
        <v>105</v>
      </c>
      <c r="E34" s="3" t="str">
        <f t="shared" si="2"/>
        <v>A REALIZAR</v>
      </c>
      <c r="F34" s="1" t="s">
        <v>7</v>
      </c>
      <c r="G34" s="1" t="s">
        <v>27</v>
      </c>
      <c r="H34" s="1" t="s">
        <v>28</v>
      </c>
      <c r="I34" s="14" t="str">
        <f t="shared" si="3"/>
        <v>04 - ABRIL</v>
      </c>
      <c r="J34" s="1"/>
      <c r="K34" s="16" t="s">
        <v>15</v>
      </c>
      <c r="L34" s="17"/>
    </row>
    <row r="35" spans="1:12" x14ac:dyDescent="0.25">
      <c r="A35" s="3">
        <v>39</v>
      </c>
      <c r="B35" s="22">
        <v>45748</v>
      </c>
      <c r="C35" s="4" t="s">
        <v>106</v>
      </c>
      <c r="D35" s="4" t="s">
        <v>107</v>
      </c>
      <c r="E35" s="3" t="str">
        <f t="shared" si="2"/>
        <v>A REALIZAR</v>
      </c>
      <c r="F35" s="1" t="s">
        <v>7</v>
      </c>
      <c r="G35" s="1" t="s">
        <v>8</v>
      </c>
      <c r="H35" s="1" t="s">
        <v>29</v>
      </c>
      <c r="I35" s="14" t="str">
        <f t="shared" si="3"/>
        <v>04 - ABRIL</v>
      </c>
      <c r="J35" s="1"/>
      <c r="K35" s="16" t="s">
        <v>15</v>
      </c>
      <c r="L35" s="17"/>
    </row>
    <row r="36" spans="1:12" x14ac:dyDescent="0.25">
      <c r="A36" s="3">
        <v>41</v>
      </c>
      <c r="B36" s="22">
        <v>45748</v>
      </c>
      <c r="C36" s="4" t="s">
        <v>110</v>
      </c>
      <c r="D36" s="4" t="s">
        <v>111</v>
      </c>
      <c r="E36" s="3" t="str">
        <f t="shared" si="2"/>
        <v>A REALIZAR</v>
      </c>
      <c r="F36" s="1" t="s">
        <v>7</v>
      </c>
      <c r="G36" s="1" t="s">
        <v>8</v>
      </c>
      <c r="H36" s="1" t="s">
        <v>29</v>
      </c>
      <c r="I36" s="14" t="str">
        <f t="shared" si="3"/>
        <v>04 - ABRIL</v>
      </c>
      <c r="J36" s="1"/>
      <c r="K36" s="16" t="s">
        <v>15</v>
      </c>
      <c r="L36" s="17"/>
    </row>
    <row r="37" spans="1:12" x14ac:dyDescent="0.25">
      <c r="A37" s="3">
        <v>42</v>
      </c>
      <c r="B37" s="22">
        <v>45748</v>
      </c>
      <c r="C37" s="4" t="s">
        <v>112</v>
      </c>
      <c r="D37" s="4" t="s">
        <v>113</v>
      </c>
      <c r="E37" s="3" t="str">
        <f t="shared" si="2"/>
        <v>A REALIZAR</v>
      </c>
      <c r="F37" s="1" t="s">
        <v>7</v>
      </c>
      <c r="G37" s="1" t="s">
        <v>8</v>
      </c>
      <c r="H37" s="1" t="s">
        <v>30</v>
      </c>
      <c r="I37" s="14" t="str">
        <f t="shared" si="3"/>
        <v>04 - ABRIL</v>
      </c>
      <c r="J37" s="1"/>
      <c r="K37" s="16" t="s">
        <v>15</v>
      </c>
      <c r="L37" s="17"/>
    </row>
    <row r="38" spans="1:12" x14ac:dyDescent="0.25">
      <c r="A38" s="3">
        <v>43</v>
      </c>
      <c r="B38" s="22">
        <v>45748</v>
      </c>
      <c r="C38" s="4" t="s">
        <v>114</v>
      </c>
      <c r="D38" s="4" t="s">
        <v>115</v>
      </c>
      <c r="E38" s="3" t="str">
        <f t="shared" si="2"/>
        <v>A REALIZAR</v>
      </c>
      <c r="F38" s="1" t="s">
        <v>7</v>
      </c>
      <c r="G38" s="1" t="s">
        <v>8</v>
      </c>
      <c r="H38" s="1" t="s">
        <v>28</v>
      </c>
      <c r="I38" s="14" t="str">
        <f t="shared" si="3"/>
        <v>04 - ABRIL</v>
      </c>
      <c r="J38" s="1"/>
      <c r="K38" s="16" t="s">
        <v>15</v>
      </c>
      <c r="L38" s="17"/>
    </row>
    <row r="39" spans="1:12" x14ac:dyDescent="0.25">
      <c r="A39" s="3">
        <v>46</v>
      </c>
      <c r="B39" s="22">
        <v>45748</v>
      </c>
      <c r="C39" s="4" t="s">
        <v>120</v>
      </c>
      <c r="D39" s="4" t="s">
        <v>121</v>
      </c>
      <c r="E39" s="3" t="str">
        <f t="shared" si="2"/>
        <v>A REALIZAR</v>
      </c>
      <c r="F39" s="1" t="s">
        <v>7</v>
      </c>
      <c r="G39" s="1" t="s">
        <v>8</v>
      </c>
      <c r="H39" s="1" t="s">
        <v>30</v>
      </c>
      <c r="I39" s="14" t="str">
        <f t="shared" si="3"/>
        <v>04 - ABRIL</v>
      </c>
      <c r="J39" s="1"/>
      <c r="K39" s="16" t="s">
        <v>15</v>
      </c>
      <c r="L39" s="17"/>
    </row>
    <row r="40" spans="1:12" x14ac:dyDescent="0.25">
      <c r="A40" s="3">
        <v>47</v>
      </c>
      <c r="B40" s="22">
        <v>45748</v>
      </c>
      <c r="C40" s="4" t="s">
        <v>122</v>
      </c>
      <c r="D40" s="4" t="s">
        <v>123</v>
      </c>
      <c r="E40" s="3" t="str">
        <f t="shared" si="2"/>
        <v>A REALIZAR</v>
      </c>
      <c r="F40" s="1" t="s">
        <v>7</v>
      </c>
      <c r="G40" s="1" t="s">
        <v>8</v>
      </c>
      <c r="H40" s="1" t="s">
        <v>30</v>
      </c>
      <c r="I40" s="14" t="str">
        <f t="shared" si="3"/>
        <v>04 - ABRIL</v>
      </c>
      <c r="J40" s="1"/>
      <c r="K40" s="16" t="s">
        <v>15</v>
      </c>
      <c r="L40" s="17"/>
    </row>
    <row r="41" spans="1:12" x14ac:dyDescent="0.25">
      <c r="A41" s="3">
        <v>61</v>
      </c>
      <c r="B41" s="22">
        <v>45778</v>
      </c>
      <c r="C41" s="4" t="s">
        <v>138</v>
      </c>
      <c r="D41" s="4" t="s">
        <v>139</v>
      </c>
      <c r="E41" s="3" t="str">
        <f t="shared" ref="E41:E43" si="4">IF(A41&lt;&gt;"","A REALIZAR","")</f>
        <v>A REALIZAR</v>
      </c>
      <c r="F41" s="1" t="s">
        <v>26</v>
      </c>
      <c r="G41" s="1" t="s">
        <v>27</v>
      </c>
      <c r="H41" s="1" t="s">
        <v>29</v>
      </c>
      <c r="I41" s="14" t="str">
        <f t="shared" ref="I41:I43" si="5">IF(B41="", "", TEXT(B41,"mm") &amp; " - " &amp; UPPER(TEXT(B41,"mmmm")))</f>
        <v>05 - MAIO</v>
      </c>
      <c r="J41" s="1" t="s">
        <v>152</v>
      </c>
      <c r="K41" s="16" t="s">
        <v>16</v>
      </c>
      <c r="L41" s="17"/>
    </row>
    <row r="42" spans="1:12" x14ac:dyDescent="0.25">
      <c r="A42" s="3">
        <v>64</v>
      </c>
      <c r="B42" s="22">
        <v>45778</v>
      </c>
      <c r="C42" s="4" t="s">
        <v>131</v>
      </c>
      <c r="D42" s="4" t="s">
        <v>133</v>
      </c>
      <c r="E42" s="3" t="str">
        <f t="shared" si="4"/>
        <v>A REALIZAR</v>
      </c>
      <c r="F42" s="1" t="s">
        <v>26</v>
      </c>
      <c r="G42" s="1" t="s">
        <v>27</v>
      </c>
      <c r="H42" s="1" t="s">
        <v>30</v>
      </c>
      <c r="I42" s="14" t="str">
        <f t="shared" si="5"/>
        <v>05 - MAIO</v>
      </c>
      <c r="J42" s="1" t="s">
        <v>166</v>
      </c>
      <c r="K42" s="16" t="s">
        <v>16</v>
      </c>
      <c r="L42" s="17"/>
    </row>
    <row r="43" spans="1:12" x14ac:dyDescent="0.25">
      <c r="A43" s="3">
        <v>65</v>
      </c>
      <c r="B43" s="22">
        <v>45778</v>
      </c>
      <c r="C43" s="4" t="s">
        <v>134</v>
      </c>
      <c r="D43" s="4" t="s">
        <v>133</v>
      </c>
      <c r="E43" s="3" t="str">
        <f t="shared" si="4"/>
        <v>A REALIZAR</v>
      </c>
      <c r="F43" s="1" t="s">
        <v>26</v>
      </c>
      <c r="G43" s="1" t="s">
        <v>27</v>
      </c>
      <c r="H43" s="1" t="s">
        <v>29</v>
      </c>
      <c r="I43" s="14" t="str">
        <f t="shared" si="5"/>
        <v>05 - MAIO</v>
      </c>
      <c r="J43" s="1" t="s">
        <v>167</v>
      </c>
      <c r="K43" s="16" t="s">
        <v>16</v>
      </c>
      <c r="L43" s="17"/>
    </row>
    <row r="44" spans="1:12" x14ac:dyDescent="0.25">
      <c r="A44" s="3">
        <v>73</v>
      </c>
      <c r="B44" s="22">
        <v>45809</v>
      </c>
      <c r="C44" s="4" t="s">
        <v>126</v>
      </c>
      <c r="D44" s="4" t="s">
        <v>127</v>
      </c>
      <c r="E44" s="3" t="str">
        <f t="shared" ref="E44:E45" si="6">IF(A44&lt;&gt;"","A REALIZAR","")</f>
        <v>A REALIZAR</v>
      </c>
      <c r="F44" s="1" t="s">
        <v>26</v>
      </c>
      <c r="G44" s="1" t="s">
        <v>27</v>
      </c>
      <c r="H44" s="1" t="s">
        <v>30</v>
      </c>
      <c r="I44" s="14" t="str">
        <f t="shared" ref="I44:I45" si="7">IF(B44="", "", TEXT(B44,"mm") &amp; " - " &amp; UPPER(TEXT(B44,"mmmm")))</f>
        <v>06 - JUNHO</v>
      </c>
      <c r="J44" s="1" t="s">
        <v>152</v>
      </c>
      <c r="K44" s="16" t="s">
        <v>17</v>
      </c>
      <c r="L44" s="17"/>
    </row>
    <row r="45" spans="1:12" x14ac:dyDescent="0.25">
      <c r="A45" s="3">
        <v>74</v>
      </c>
      <c r="B45" s="22">
        <v>45809</v>
      </c>
      <c r="C45" s="4" t="s">
        <v>168</v>
      </c>
      <c r="D45" s="4" t="s">
        <v>169</v>
      </c>
      <c r="E45" s="3" t="str">
        <f t="shared" si="6"/>
        <v>A REALIZAR</v>
      </c>
      <c r="F45" s="1" t="s">
        <v>26</v>
      </c>
      <c r="G45" s="1" t="s">
        <v>27</v>
      </c>
      <c r="H45" s="1" t="s">
        <v>29</v>
      </c>
      <c r="I45" s="14" t="str">
        <f t="shared" si="7"/>
        <v>06 - JUNHO</v>
      </c>
      <c r="J45" s="1" t="s">
        <v>153</v>
      </c>
      <c r="K45" s="16" t="s">
        <v>17</v>
      </c>
      <c r="L45" s="17"/>
    </row>
    <row r="46" spans="1:12" x14ac:dyDescent="0.25">
      <c r="A46" s="3">
        <v>79</v>
      </c>
      <c r="B46" s="22">
        <v>45809</v>
      </c>
      <c r="C46" s="4" t="s">
        <v>56</v>
      </c>
      <c r="D46" s="4" t="s">
        <v>57</v>
      </c>
      <c r="E46" s="3" t="str">
        <f t="shared" ref="E46:E50" si="8">IF(A46&lt;&gt;"","A REALIZAR","")</f>
        <v>A REALIZAR</v>
      </c>
      <c r="F46" s="1" t="s">
        <v>26</v>
      </c>
      <c r="G46" s="1" t="s">
        <v>27</v>
      </c>
      <c r="H46" s="1" t="s">
        <v>28</v>
      </c>
      <c r="I46" s="14" t="str">
        <f t="shared" ref="I46:I50" si="9">IF(B46="", "", TEXT(B46,"mm") &amp; " - " &amp; UPPER(TEXT(B46,"mmmm")))</f>
        <v>06 - JUNHO</v>
      </c>
      <c r="J46" s="1" t="s">
        <v>166</v>
      </c>
      <c r="K46" s="16" t="s">
        <v>17</v>
      </c>
      <c r="L46" s="17"/>
    </row>
    <row r="47" spans="1:12" x14ac:dyDescent="0.25">
      <c r="A47" s="3">
        <v>80</v>
      </c>
      <c r="B47" s="22">
        <v>45809</v>
      </c>
      <c r="C47" s="4" t="s">
        <v>173</v>
      </c>
      <c r="D47" s="4" t="s">
        <v>174</v>
      </c>
      <c r="E47" s="3" t="str">
        <f t="shared" si="8"/>
        <v>A REALIZAR</v>
      </c>
      <c r="F47" s="1" t="s">
        <v>26</v>
      </c>
      <c r="G47" s="1" t="s">
        <v>27</v>
      </c>
      <c r="H47" s="1" t="s">
        <v>29</v>
      </c>
      <c r="I47" s="14" t="str">
        <f t="shared" si="9"/>
        <v>06 - JUNHO</v>
      </c>
      <c r="J47" s="1" t="s">
        <v>166</v>
      </c>
      <c r="K47" s="16" t="s">
        <v>17</v>
      </c>
      <c r="L47" s="17"/>
    </row>
    <row r="48" spans="1:12" x14ac:dyDescent="0.25">
      <c r="A48" s="3">
        <v>81</v>
      </c>
      <c r="B48" s="22">
        <v>45809</v>
      </c>
      <c r="C48" s="4" t="s">
        <v>92</v>
      </c>
      <c r="D48" s="4" t="s">
        <v>93</v>
      </c>
      <c r="E48" s="3" t="str">
        <f t="shared" si="8"/>
        <v>A REALIZAR</v>
      </c>
      <c r="F48" s="1" t="s">
        <v>7</v>
      </c>
      <c r="G48" s="1" t="s">
        <v>27</v>
      </c>
      <c r="H48" s="1" t="s">
        <v>29</v>
      </c>
      <c r="I48" s="14" t="str">
        <f t="shared" si="9"/>
        <v>06 - JUNHO</v>
      </c>
      <c r="J48" s="1" t="s">
        <v>153</v>
      </c>
      <c r="K48" s="16" t="s">
        <v>17</v>
      </c>
      <c r="L48" s="17"/>
    </row>
    <row r="49" spans="1:12" x14ac:dyDescent="0.25">
      <c r="A49" s="3">
        <v>82</v>
      </c>
      <c r="B49" s="22">
        <v>45809</v>
      </c>
      <c r="C49" s="4" t="s">
        <v>90</v>
      </c>
      <c r="D49" s="4" t="s">
        <v>91</v>
      </c>
      <c r="E49" s="3" t="str">
        <f t="shared" si="8"/>
        <v>A REALIZAR</v>
      </c>
      <c r="F49" s="1" t="s">
        <v>7</v>
      </c>
      <c r="G49" s="1" t="s">
        <v>27</v>
      </c>
      <c r="H49" s="1" t="s">
        <v>29</v>
      </c>
      <c r="I49" s="14" t="str">
        <f t="shared" si="9"/>
        <v>06 - JUNHO</v>
      </c>
      <c r="J49" s="1" t="s">
        <v>153</v>
      </c>
      <c r="K49" s="16" t="s">
        <v>17</v>
      </c>
      <c r="L49" s="17"/>
    </row>
    <row r="50" spans="1:12" x14ac:dyDescent="0.25">
      <c r="A50" s="3">
        <v>83</v>
      </c>
      <c r="B50" s="22">
        <v>45791</v>
      </c>
      <c r="C50" s="4" t="s">
        <v>179</v>
      </c>
      <c r="D50" s="4" t="s">
        <v>51</v>
      </c>
      <c r="E50" s="3" t="str">
        <f t="shared" si="8"/>
        <v>A REALIZAR</v>
      </c>
      <c r="F50" s="1" t="s">
        <v>7</v>
      </c>
      <c r="G50" s="1" t="s">
        <v>8</v>
      </c>
      <c r="H50" s="1" t="s">
        <v>29</v>
      </c>
      <c r="I50" s="14" t="str">
        <f t="shared" si="9"/>
        <v>05 - MAIO</v>
      </c>
      <c r="J50" s="1"/>
      <c r="K50" s="16" t="s">
        <v>16</v>
      </c>
      <c r="L50" s="17"/>
    </row>
    <row r="51" spans="1:12" x14ac:dyDescent="0.25">
      <c r="A51" s="3">
        <v>85</v>
      </c>
      <c r="B51" s="22">
        <v>45809</v>
      </c>
      <c r="C51" s="4" t="s">
        <v>183</v>
      </c>
      <c r="D51" s="4" t="s">
        <v>184</v>
      </c>
      <c r="E51" s="3" t="str">
        <f t="shared" ref="E51:E69" si="10">IF(A51&lt;&gt;"","A REALIZAR","")</f>
        <v>A REALIZAR</v>
      </c>
      <c r="F51" s="1" t="s">
        <v>26</v>
      </c>
      <c r="G51" s="1" t="s">
        <v>27</v>
      </c>
      <c r="H51" s="1" t="s">
        <v>29</v>
      </c>
      <c r="I51" s="14" t="str">
        <f t="shared" ref="I51:I69" si="11">IF(B51="", "", TEXT(B51,"mm") &amp; " - " &amp; UPPER(TEXT(B51,"mmmm")))</f>
        <v>06 - JUNHO</v>
      </c>
      <c r="J51" s="1" t="s">
        <v>152</v>
      </c>
      <c r="K51" s="16" t="s">
        <v>17</v>
      </c>
      <c r="L51" s="17"/>
    </row>
    <row r="52" spans="1:12" x14ac:dyDescent="0.25">
      <c r="A52" s="3">
        <v>86</v>
      </c>
      <c r="B52" s="22">
        <v>45809</v>
      </c>
      <c r="C52" s="4" t="s">
        <v>175</v>
      </c>
      <c r="D52" s="4" t="s">
        <v>176</v>
      </c>
      <c r="E52" s="3" t="str">
        <f t="shared" si="10"/>
        <v>A REALIZAR</v>
      </c>
      <c r="F52" s="1" t="s">
        <v>26</v>
      </c>
      <c r="G52" s="1" t="s">
        <v>27</v>
      </c>
      <c r="H52" s="1" t="s">
        <v>29</v>
      </c>
      <c r="I52" s="14" t="str">
        <f t="shared" si="11"/>
        <v>06 - JUNHO</v>
      </c>
      <c r="J52" s="1" t="s">
        <v>166</v>
      </c>
      <c r="K52" s="16" t="s">
        <v>17</v>
      </c>
      <c r="L52" s="17"/>
    </row>
    <row r="53" spans="1:12" x14ac:dyDescent="0.25">
      <c r="A53" s="3">
        <v>88</v>
      </c>
      <c r="B53" s="22">
        <v>45809</v>
      </c>
      <c r="C53" s="4" t="s">
        <v>129</v>
      </c>
      <c r="D53" s="4" t="s">
        <v>132</v>
      </c>
      <c r="E53" s="3" t="str">
        <f t="shared" si="10"/>
        <v>A REALIZAR</v>
      </c>
      <c r="F53" s="1" t="s">
        <v>26</v>
      </c>
      <c r="G53" s="1" t="s">
        <v>27</v>
      </c>
      <c r="H53" s="1" t="s">
        <v>30</v>
      </c>
      <c r="I53" s="14" t="str">
        <f t="shared" si="11"/>
        <v>06 - JUNHO</v>
      </c>
      <c r="J53" s="1" t="s">
        <v>166</v>
      </c>
      <c r="K53" s="16" t="s">
        <v>17</v>
      </c>
      <c r="L53" s="17"/>
    </row>
    <row r="54" spans="1:12" x14ac:dyDescent="0.25">
      <c r="A54" s="3">
        <v>89</v>
      </c>
      <c r="B54" s="22">
        <v>45809</v>
      </c>
      <c r="C54" s="4" t="s">
        <v>135</v>
      </c>
      <c r="D54" s="4" t="s">
        <v>136</v>
      </c>
      <c r="E54" s="3" t="str">
        <f t="shared" si="10"/>
        <v>A REALIZAR</v>
      </c>
      <c r="F54" s="1" t="s">
        <v>26</v>
      </c>
      <c r="G54" s="1" t="s">
        <v>27</v>
      </c>
      <c r="H54" s="1" t="s">
        <v>29</v>
      </c>
      <c r="I54" s="14" t="str">
        <f t="shared" si="11"/>
        <v>06 - JUNHO</v>
      </c>
      <c r="J54" s="1" t="s">
        <v>166</v>
      </c>
      <c r="K54" s="16" t="s">
        <v>17</v>
      </c>
      <c r="L54" s="17"/>
    </row>
    <row r="55" spans="1:12" x14ac:dyDescent="0.25">
      <c r="A55" s="3">
        <v>84</v>
      </c>
      <c r="B55" s="36">
        <v>45792</v>
      </c>
      <c r="C55" s="4" t="s">
        <v>186</v>
      </c>
      <c r="D55" s="4" t="s">
        <v>187</v>
      </c>
      <c r="E55" s="3" t="str">
        <f t="shared" si="10"/>
        <v>A REALIZAR</v>
      </c>
      <c r="F55" s="1" t="s">
        <v>7</v>
      </c>
      <c r="G55" s="1" t="s">
        <v>8</v>
      </c>
      <c r="I55" s="14" t="str">
        <f t="shared" si="11"/>
        <v>05 - MAIO</v>
      </c>
      <c r="J55" s="1"/>
      <c r="K55" s="16" t="s">
        <v>16</v>
      </c>
      <c r="L55" s="17"/>
    </row>
    <row r="56" spans="1:12" x14ac:dyDescent="0.25">
      <c r="A56" s="3">
        <v>85</v>
      </c>
      <c r="B56" s="36">
        <v>45792</v>
      </c>
      <c r="C56" s="4" t="s">
        <v>188</v>
      </c>
      <c r="D56" s="4" t="s">
        <v>189</v>
      </c>
      <c r="E56" s="3" t="str">
        <f t="shared" si="10"/>
        <v>A REALIZAR</v>
      </c>
      <c r="F56" s="1" t="s">
        <v>7</v>
      </c>
      <c r="G56" s="1" t="s">
        <v>8</v>
      </c>
      <c r="I56" s="14" t="str">
        <f t="shared" si="11"/>
        <v>05 - MAIO</v>
      </c>
      <c r="J56" s="1"/>
      <c r="K56" s="16" t="s">
        <v>16</v>
      </c>
      <c r="L56" s="17"/>
    </row>
    <row r="57" spans="1:12" x14ac:dyDescent="0.25">
      <c r="A57" s="3">
        <v>86</v>
      </c>
      <c r="B57" s="36">
        <v>45792</v>
      </c>
      <c r="C57" s="4" t="s">
        <v>190</v>
      </c>
      <c r="D57" s="4" t="s">
        <v>191</v>
      </c>
      <c r="E57" s="3" t="str">
        <f t="shared" si="10"/>
        <v>A REALIZAR</v>
      </c>
      <c r="F57" s="1" t="s">
        <v>7</v>
      </c>
      <c r="G57" s="1" t="s">
        <v>8</v>
      </c>
      <c r="I57" s="14" t="str">
        <f t="shared" si="11"/>
        <v>05 - MAIO</v>
      </c>
      <c r="J57" s="1"/>
      <c r="K57" s="16" t="s">
        <v>16</v>
      </c>
      <c r="L57" s="17"/>
    </row>
    <row r="58" spans="1:12" x14ac:dyDescent="0.25">
      <c r="A58" s="3">
        <v>87</v>
      </c>
      <c r="B58" s="36">
        <v>45792</v>
      </c>
      <c r="C58" s="4" t="s">
        <v>192</v>
      </c>
      <c r="D58" s="4"/>
      <c r="E58" s="3" t="str">
        <f t="shared" si="10"/>
        <v>A REALIZAR</v>
      </c>
      <c r="F58" s="1" t="s">
        <v>7</v>
      </c>
      <c r="G58" s="1" t="s">
        <v>8</v>
      </c>
      <c r="I58" s="14" t="str">
        <f t="shared" si="11"/>
        <v>05 - MAIO</v>
      </c>
      <c r="J58" s="1"/>
      <c r="K58" s="16" t="s">
        <v>16</v>
      </c>
      <c r="L58" s="17"/>
    </row>
    <row r="59" spans="1:12" x14ac:dyDescent="0.25">
      <c r="A59" s="3">
        <v>88</v>
      </c>
      <c r="B59" s="36">
        <v>45792</v>
      </c>
      <c r="C59" s="4" t="s">
        <v>193</v>
      </c>
      <c r="D59" s="4"/>
      <c r="E59" s="3" t="str">
        <f t="shared" si="10"/>
        <v>A REALIZAR</v>
      </c>
      <c r="F59" s="1" t="s">
        <v>7</v>
      </c>
      <c r="G59" s="1" t="s">
        <v>8</v>
      </c>
      <c r="I59" s="14" t="str">
        <f t="shared" si="11"/>
        <v>05 - MAIO</v>
      </c>
      <c r="J59" s="1"/>
      <c r="K59" s="16" t="s">
        <v>16</v>
      </c>
      <c r="L59" s="17"/>
    </row>
    <row r="60" spans="1:12" x14ac:dyDescent="0.25">
      <c r="A60" s="3">
        <v>89</v>
      </c>
      <c r="B60" s="36">
        <v>45791</v>
      </c>
      <c r="C60" s="4" t="s">
        <v>194</v>
      </c>
      <c r="D60" s="4" t="s">
        <v>195</v>
      </c>
      <c r="E60" s="3" t="str">
        <f t="shared" si="10"/>
        <v>A REALIZAR</v>
      </c>
      <c r="F60" s="1" t="s">
        <v>7</v>
      </c>
      <c r="G60" s="1" t="s">
        <v>8</v>
      </c>
      <c r="I60" s="14" t="str">
        <f t="shared" si="11"/>
        <v>05 - MAIO</v>
      </c>
      <c r="J60" s="1"/>
      <c r="K60" s="16" t="s">
        <v>16</v>
      </c>
      <c r="L60" s="17"/>
    </row>
    <row r="61" spans="1:12" x14ac:dyDescent="0.25">
      <c r="A61" s="3">
        <v>90</v>
      </c>
      <c r="B61" s="36">
        <v>45791</v>
      </c>
      <c r="C61" s="4" t="s">
        <v>196</v>
      </c>
      <c r="D61" s="4" t="s">
        <v>197</v>
      </c>
      <c r="E61" s="3" t="str">
        <f t="shared" si="10"/>
        <v>A REALIZAR</v>
      </c>
      <c r="F61" s="1" t="s">
        <v>7</v>
      </c>
      <c r="G61" s="1" t="s">
        <v>8</v>
      </c>
      <c r="I61" s="14" t="str">
        <f t="shared" si="11"/>
        <v>05 - MAIO</v>
      </c>
      <c r="J61" s="1"/>
      <c r="K61" s="16" t="s">
        <v>16</v>
      </c>
      <c r="L61" s="17"/>
    </row>
    <row r="62" spans="1:12" x14ac:dyDescent="0.25">
      <c r="A62" s="3">
        <v>91</v>
      </c>
      <c r="B62" s="36">
        <v>45792</v>
      </c>
      <c r="C62" s="4" t="s">
        <v>198</v>
      </c>
      <c r="D62" s="4" t="s">
        <v>199</v>
      </c>
      <c r="E62" s="3" t="str">
        <f t="shared" si="10"/>
        <v>A REALIZAR</v>
      </c>
      <c r="F62" s="1" t="s">
        <v>7</v>
      </c>
      <c r="G62" s="1" t="s">
        <v>8</v>
      </c>
      <c r="I62" s="14" t="str">
        <f t="shared" si="11"/>
        <v>05 - MAIO</v>
      </c>
      <c r="J62" s="1"/>
      <c r="K62" s="16" t="s">
        <v>16</v>
      </c>
      <c r="L62" s="17"/>
    </row>
    <row r="63" spans="1:12" x14ac:dyDescent="0.25">
      <c r="A63" s="3">
        <v>92</v>
      </c>
      <c r="B63" s="36">
        <v>45790</v>
      </c>
      <c r="C63" s="4" t="s">
        <v>200</v>
      </c>
      <c r="D63" s="4" t="s">
        <v>201</v>
      </c>
      <c r="E63" s="3" t="str">
        <f t="shared" si="10"/>
        <v>A REALIZAR</v>
      </c>
      <c r="F63" s="1" t="s">
        <v>7</v>
      </c>
      <c r="G63" s="1" t="s">
        <v>8</v>
      </c>
      <c r="I63" s="14" t="str">
        <f t="shared" si="11"/>
        <v>05 - MAIO</v>
      </c>
      <c r="J63" s="1"/>
      <c r="K63" s="16" t="s">
        <v>16</v>
      </c>
      <c r="L63" s="17"/>
    </row>
    <row r="64" spans="1:12" x14ac:dyDescent="0.25">
      <c r="A64" s="3">
        <v>93</v>
      </c>
      <c r="B64" s="36">
        <v>45790</v>
      </c>
      <c r="C64" s="4" t="s">
        <v>202</v>
      </c>
      <c r="D64" s="4"/>
      <c r="E64" s="3" t="str">
        <f t="shared" si="10"/>
        <v>A REALIZAR</v>
      </c>
      <c r="F64" s="1" t="s">
        <v>7</v>
      </c>
      <c r="G64" s="1" t="s">
        <v>8</v>
      </c>
      <c r="I64" s="14" t="str">
        <f t="shared" si="11"/>
        <v>05 - MAIO</v>
      </c>
      <c r="J64" s="1"/>
      <c r="K64" s="16" t="s">
        <v>16</v>
      </c>
      <c r="L64" s="17"/>
    </row>
    <row r="65" spans="1:12" x14ac:dyDescent="0.25">
      <c r="A65" s="3">
        <v>94</v>
      </c>
      <c r="B65" s="36">
        <v>45792</v>
      </c>
      <c r="C65" s="4" t="s">
        <v>203</v>
      </c>
      <c r="D65" s="4" t="s">
        <v>204</v>
      </c>
      <c r="E65" s="3" t="str">
        <f t="shared" si="10"/>
        <v>A REALIZAR</v>
      </c>
      <c r="F65" s="1" t="s">
        <v>7</v>
      </c>
      <c r="G65" s="1" t="s">
        <v>8</v>
      </c>
      <c r="I65" s="14" t="str">
        <f t="shared" si="11"/>
        <v>05 - MAIO</v>
      </c>
      <c r="J65" s="1"/>
      <c r="K65" s="16" t="s">
        <v>16</v>
      </c>
      <c r="L65" s="17"/>
    </row>
    <row r="66" spans="1:12" x14ac:dyDescent="0.25">
      <c r="A66" s="3">
        <v>95</v>
      </c>
      <c r="B66" s="36">
        <v>45792</v>
      </c>
      <c r="C66" s="4" t="s">
        <v>205</v>
      </c>
      <c r="D66" s="4" t="s">
        <v>206</v>
      </c>
      <c r="E66" s="3" t="str">
        <f t="shared" si="10"/>
        <v>A REALIZAR</v>
      </c>
      <c r="F66" s="1" t="s">
        <v>7</v>
      </c>
      <c r="G66" s="1" t="s">
        <v>27</v>
      </c>
      <c r="I66" s="14" t="str">
        <f t="shared" si="11"/>
        <v>05 - MAIO</v>
      </c>
      <c r="J66" s="1"/>
      <c r="K66" s="16" t="s">
        <v>16</v>
      </c>
      <c r="L66" s="17"/>
    </row>
    <row r="67" spans="1:12" x14ac:dyDescent="0.25">
      <c r="A67" s="3">
        <v>96</v>
      </c>
      <c r="B67" s="36">
        <v>45792</v>
      </c>
      <c r="C67" s="4" t="s">
        <v>207</v>
      </c>
      <c r="D67" s="4" t="s">
        <v>208</v>
      </c>
      <c r="E67" s="3" t="str">
        <f t="shared" si="10"/>
        <v>A REALIZAR</v>
      </c>
      <c r="F67" s="1" t="s">
        <v>7</v>
      </c>
      <c r="G67" s="1" t="s">
        <v>8</v>
      </c>
      <c r="I67" s="14" t="str">
        <f t="shared" si="11"/>
        <v>05 - MAIO</v>
      </c>
      <c r="J67" s="1"/>
      <c r="K67" s="16" t="s">
        <v>16</v>
      </c>
      <c r="L67" s="17"/>
    </row>
    <row r="68" spans="1:12" x14ac:dyDescent="0.25">
      <c r="A68" s="3">
        <v>97</v>
      </c>
      <c r="B68" s="36">
        <v>45792</v>
      </c>
      <c r="C68" s="4" t="s">
        <v>209</v>
      </c>
      <c r="D68" s="4" t="s">
        <v>210</v>
      </c>
      <c r="E68" s="3" t="str">
        <f t="shared" si="10"/>
        <v>A REALIZAR</v>
      </c>
      <c r="F68" s="1" t="s">
        <v>7</v>
      </c>
      <c r="G68" s="1" t="s">
        <v>8</v>
      </c>
      <c r="I68" s="14" t="str">
        <f t="shared" si="11"/>
        <v>05 - MAIO</v>
      </c>
      <c r="J68" s="1"/>
      <c r="K68" s="16" t="s">
        <v>16</v>
      </c>
      <c r="L68" s="17"/>
    </row>
    <row r="69" spans="1:12" x14ac:dyDescent="0.25">
      <c r="A69" s="3">
        <v>98</v>
      </c>
      <c r="B69" s="36">
        <v>45792</v>
      </c>
      <c r="C69" s="4" t="s">
        <v>211</v>
      </c>
      <c r="D69" s="4" t="s">
        <v>212</v>
      </c>
      <c r="E69" s="3" t="str">
        <f t="shared" si="10"/>
        <v>A REALIZAR</v>
      </c>
      <c r="F69" s="1" t="s">
        <v>7</v>
      </c>
      <c r="G69" s="1" t="s">
        <v>27</v>
      </c>
      <c r="I69" s="14" t="str">
        <f t="shared" si="11"/>
        <v>05 - MAIO</v>
      </c>
      <c r="J69" s="1"/>
      <c r="K69" s="16" t="s">
        <v>16</v>
      </c>
      <c r="L69" s="17"/>
    </row>
    <row r="70" spans="1:12" x14ac:dyDescent="0.25">
      <c r="A70" s="3">
        <v>99</v>
      </c>
      <c r="B70" s="36">
        <v>45809</v>
      </c>
      <c r="C70" s="4" t="s">
        <v>128</v>
      </c>
      <c r="D70" s="4" t="s">
        <v>132</v>
      </c>
      <c r="E70" s="3" t="str">
        <f>IF(A70&lt;&gt;"","A REALIZAR","")</f>
        <v>A REALIZAR</v>
      </c>
      <c r="F70" s="1" t="s">
        <v>26</v>
      </c>
      <c r="G70" s="1" t="s">
        <v>27</v>
      </c>
      <c r="H70" s="1" t="s">
        <v>30</v>
      </c>
      <c r="I70" s="14" t="str">
        <f>IF(B70="", "", TEXT(B70,"mm") &amp; " - " &amp; UPPER(TEXT(B70,"mmmm")))</f>
        <v>06 - JUNHO</v>
      </c>
      <c r="J70" s="1" t="s">
        <v>166</v>
      </c>
      <c r="K70" s="16" t="s">
        <v>17</v>
      </c>
      <c r="L70" s="17"/>
    </row>
    <row r="71" spans="1:12" x14ac:dyDescent="0.25">
      <c r="A71" s="3">
        <v>100</v>
      </c>
      <c r="B71" s="36">
        <v>45809</v>
      </c>
      <c r="C71" s="4" t="s">
        <v>137</v>
      </c>
      <c r="D71" s="4" t="s">
        <v>136</v>
      </c>
      <c r="E71" s="3" t="str">
        <f>IF(A71&lt;&gt;"","A REALIZAR","")</f>
        <v>A REALIZAR</v>
      </c>
      <c r="F71" s="1" t="s">
        <v>26</v>
      </c>
      <c r="G71" s="1" t="s">
        <v>27</v>
      </c>
      <c r="H71" s="1" t="s">
        <v>29</v>
      </c>
      <c r="I71" s="14" t="str">
        <f>IF(B71="", "", TEXT(B71,"mm") &amp; " - " &amp; UPPER(TEXT(B71,"mmmm")))</f>
        <v>06 - JUNHO</v>
      </c>
      <c r="J71" s="1" t="s">
        <v>166</v>
      </c>
      <c r="K71" s="16" t="s">
        <v>17</v>
      </c>
    </row>
  </sheetData>
  <phoneticPr fontId="1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9D7BE-9B60-42E7-94A6-E01266606951}">
  <sheetPr codeName="Planilha3"/>
  <dimension ref="A1:N15"/>
  <sheetViews>
    <sheetView showGridLines="0" workbookViewId="0">
      <pane ySplit="1" topLeftCell="A2" activePane="bottomLeft" state="frozen"/>
      <selection pane="bottomLeft" activeCell="A4" sqref="A4:K4"/>
    </sheetView>
  </sheetViews>
  <sheetFormatPr defaultRowHeight="15" x14ac:dyDescent="0.25"/>
  <cols>
    <col min="1" max="1" width="7.7109375" customWidth="1"/>
    <col min="2" max="2" width="21.85546875" style="1" bestFit="1" customWidth="1"/>
    <col min="3" max="3" width="47.42578125" style="12" bestFit="1" customWidth="1"/>
    <col min="4" max="4" width="45.5703125" customWidth="1"/>
    <col min="5" max="5" width="15.28515625" bestFit="1" customWidth="1"/>
    <col min="6" max="6" width="18.28515625" bestFit="1" customWidth="1"/>
    <col min="7" max="7" width="12.5703125" bestFit="1" customWidth="1"/>
    <col min="8" max="8" width="16.42578125" bestFit="1" customWidth="1"/>
    <col min="9" max="9" width="9.42578125" style="10" bestFit="1" customWidth="1"/>
    <col min="10" max="10" width="15.7109375" style="1" bestFit="1" customWidth="1"/>
    <col min="11" max="11" width="41.5703125" style="20" bestFit="1" customWidth="1"/>
    <col min="12" max="12" width="8.5703125" style="20" customWidth="1"/>
    <col min="13" max="14" width="9.140625" style="20"/>
  </cols>
  <sheetData>
    <row r="1" spans="1:14" s="1" customFormat="1" ht="51" customHeight="1" x14ac:dyDescent="0.25">
      <c r="A1" s="3" t="s">
        <v>5</v>
      </c>
      <c r="B1" s="2" t="s">
        <v>0</v>
      </c>
      <c r="C1" s="3" t="s">
        <v>1</v>
      </c>
      <c r="D1" s="3" t="s">
        <v>2</v>
      </c>
      <c r="E1" s="3" t="s">
        <v>3</v>
      </c>
      <c r="F1" s="3" t="s">
        <v>6</v>
      </c>
      <c r="G1" s="3" t="s">
        <v>4</v>
      </c>
      <c r="H1" s="3" t="s">
        <v>9</v>
      </c>
      <c r="I1" s="13" t="s">
        <v>10</v>
      </c>
      <c r="J1" s="3" t="s">
        <v>146</v>
      </c>
      <c r="K1" s="23" t="s">
        <v>149</v>
      </c>
      <c r="L1" s="19"/>
      <c r="M1" s="19"/>
      <c r="N1" s="19"/>
    </row>
    <row r="2" spans="1:14" x14ac:dyDescent="0.25">
      <c r="A2" s="3">
        <v>40</v>
      </c>
      <c r="B2" s="24">
        <v>45748</v>
      </c>
      <c r="C2" s="12" t="s">
        <v>108</v>
      </c>
      <c r="D2" s="12" t="s">
        <v>109</v>
      </c>
      <c r="E2" t="str">
        <f t="shared" ref="E2:E3" si="0">IF(A2&lt;&gt;"","EM ANDAMENTO","")</f>
        <v>EM ANDAMENTO</v>
      </c>
      <c r="F2" t="s">
        <v>7</v>
      </c>
      <c r="G2" t="s">
        <v>8</v>
      </c>
      <c r="H2" t="s">
        <v>29</v>
      </c>
      <c r="I2" s="10" t="s">
        <v>15</v>
      </c>
      <c r="J2" s="1" t="s">
        <v>152</v>
      </c>
      <c r="K2" s="30"/>
      <c r="M2" s="21"/>
    </row>
    <row r="3" spans="1:14" x14ac:dyDescent="0.25">
      <c r="A3" s="3">
        <v>60</v>
      </c>
      <c r="B3" s="24">
        <v>45748</v>
      </c>
      <c r="C3" s="12" t="s">
        <v>144</v>
      </c>
      <c r="D3" s="12" t="s">
        <v>145</v>
      </c>
      <c r="E3" t="str">
        <f t="shared" si="0"/>
        <v>EM ANDAMENTO</v>
      </c>
      <c r="F3" t="s">
        <v>26</v>
      </c>
      <c r="G3" t="s">
        <v>8</v>
      </c>
      <c r="H3" t="s">
        <v>30</v>
      </c>
      <c r="I3" s="10" t="s">
        <v>15</v>
      </c>
      <c r="J3" s="1" t="s">
        <v>166</v>
      </c>
      <c r="K3" s="30"/>
    </row>
    <row r="4" spans="1:14" x14ac:dyDescent="0.25">
      <c r="A4" s="3">
        <v>72</v>
      </c>
      <c r="B4" s="24">
        <v>45786</v>
      </c>
      <c r="C4" s="12" t="s">
        <v>170</v>
      </c>
      <c r="D4" s="12" t="s">
        <v>171</v>
      </c>
      <c r="E4" t="str">
        <f t="shared" ref="E4:E5" si="1">IF(A4&lt;&gt;"","EM ANDAMENTO","")</f>
        <v>EM ANDAMENTO</v>
      </c>
      <c r="F4" t="s">
        <v>26</v>
      </c>
      <c r="G4" t="s">
        <v>27</v>
      </c>
      <c r="H4" t="s">
        <v>29</v>
      </c>
      <c r="I4" s="10" t="s">
        <v>16</v>
      </c>
      <c r="J4" s="1" t="s">
        <v>152</v>
      </c>
      <c r="K4" s="30" t="s">
        <v>172</v>
      </c>
    </row>
    <row r="5" spans="1:14" x14ac:dyDescent="0.25">
      <c r="A5" s="3">
        <v>71</v>
      </c>
      <c r="B5" s="24">
        <v>45778</v>
      </c>
      <c r="C5" s="12" t="s">
        <v>58</v>
      </c>
      <c r="D5" s="12" t="s">
        <v>59</v>
      </c>
      <c r="E5" t="str">
        <f t="shared" si="1"/>
        <v>EM ANDAMENTO</v>
      </c>
      <c r="F5" t="s">
        <v>26</v>
      </c>
      <c r="G5" t="s">
        <v>27</v>
      </c>
      <c r="H5" t="s">
        <v>28</v>
      </c>
      <c r="I5" s="10" t="s">
        <v>16</v>
      </c>
      <c r="J5" s="1" t="s">
        <v>166</v>
      </c>
      <c r="K5" s="30" t="s">
        <v>172</v>
      </c>
    </row>
    <row r="6" spans="1:14" x14ac:dyDescent="0.25">
      <c r="A6" s="3">
        <v>1</v>
      </c>
      <c r="B6" s="24">
        <v>45748</v>
      </c>
      <c r="C6" s="12" t="s">
        <v>31</v>
      </c>
      <c r="D6" s="12" t="s">
        <v>32</v>
      </c>
      <c r="F6" t="s">
        <v>7</v>
      </c>
      <c r="G6" t="s">
        <v>8</v>
      </c>
      <c r="H6" t="s">
        <v>29</v>
      </c>
      <c r="I6" s="10" t="s">
        <v>15</v>
      </c>
      <c r="K6" s="30" t="s">
        <v>177</v>
      </c>
    </row>
    <row r="7" spans="1:14" x14ac:dyDescent="0.25">
      <c r="A7" s="3">
        <v>2</v>
      </c>
      <c r="B7" s="24">
        <v>45748</v>
      </c>
      <c r="C7" s="12" t="s">
        <v>33</v>
      </c>
      <c r="D7" s="12" t="s">
        <v>34</v>
      </c>
      <c r="F7" t="s">
        <v>7</v>
      </c>
      <c r="G7" t="s">
        <v>8</v>
      </c>
      <c r="H7" t="s">
        <v>30</v>
      </c>
      <c r="I7" s="10" t="s">
        <v>15</v>
      </c>
      <c r="K7" s="30" t="s">
        <v>178</v>
      </c>
    </row>
    <row r="8" spans="1:14" x14ac:dyDescent="0.25">
      <c r="A8" s="3">
        <v>3</v>
      </c>
      <c r="B8" s="24">
        <v>45748</v>
      </c>
      <c r="C8" s="12" t="s">
        <v>35</v>
      </c>
      <c r="D8" s="12" t="s">
        <v>36</v>
      </c>
      <c r="F8" t="s">
        <v>7</v>
      </c>
      <c r="G8" t="s">
        <v>8</v>
      </c>
      <c r="H8" t="s">
        <v>30</v>
      </c>
      <c r="I8" s="10" t="s">
        <v>15</v>
      </c>
      <c r="K8" s="30" t="s">
        <v>181</v>
      </c>
    </row>
    <row r="9" spans="1:14" x14ac:dyDescent="0.25">
      <c r="A9" s="3">
        <v>4</v>
      </c>
      <c r="B9" s="24">
        <v>45748</v>
      </c>
      <c r="C9" s="12" t="s">
        <v>37</v>
      </c>
      <c r="D9" s="12" t="s">
        <v>38</v>
      </c>
      <c r="F9" t="s">
        <v>7</v>
      </c>
      <c r="G9" t="s">
        <v>8</v>
      </c>
      <c r="H9" t="s">
        <v>29</v>
      </c>
      <c r="I9" s="10" t="s">
        <v>15</v>
      </c>
      <c r="K9" s="30"/>
    </row>
    <row r="10" spans="1:14" x14ac:dyDescent="0.25">
      <c r="A10" s="3">
        <v>5</v>
      </c>
      <c r="B10" s="24">
        <v>45748</v>
      </c>
      <c r="C10" s="12" t="s">
        <v>39</v>
      </c>
      <c r="D10" s="12" t="s">
        <v>40</v>
      </c>
      <c r="F10" t="s">
        <v>7</v>
      </c>
      <c r="G10" t="s">
        <v>8</v>
      </c>
      <c r="H10" t="s">
        <v>29</v>
      </c>
      <c r="I10" s="10" t="s">
        <v>15</v>
      </c>
      <c r="K10" s="30"/>
    </row>
    <row r="11" spans="1:14" x14ac:dyDescent="0.25">
      <c r="A11" s="3">
        <v>6</v>
      </c>
      <c r="B11" s="24">
        <v>45748</v>
      </c>
      <c r="C11" s="12" t="s">
        <v>41</v>
      </c>
      <c r="D11" s="12" t="s">
        <v>42</v>
      </c>
      <c r="F11" t="s">
        <v>7</v>
      </c>
      <c r="G11" t="s">
        <v>8</v>
      </c>
      <c r="H11" t="s">
        <v>29</v>
      </c>
      <c r="I11" s="10" t="s">
        <v>15</v>
      </c>
      <c r="K11" s="30" t="s">
        <v>182</v>
      </c>
    </row>
    <row r="12" spans="1:14" x14ac:dyDescent="0.25">
      <c r="A12" s="3">
        <v>7</v>
      </c>
      <c r="B12" s="24">
        <v>45748</v>
      </c>
      <c r="C12" s="12" t="s">
        <v>43</v>
      </c>
      <c r="D12" s="12" t="s">
        <v>44</v>
      </c>
      <c r="F12" t="s">
        <v>7</v>
      </c>
      <c r="G12" t="s">
        <v>8</v>
      </c>
      <c r="H12" t="s">
        <v>29</v>
      </c>
      <c r="I12" s="10" t="s">
        <v>15</v>
      </c>
      <c r="K12" s="30"/>
    </row>
    <row r="13" spans="1:14" x14ac:dyDescent="0.25">
      <c r="A13" s="3">
        <v>87</v>
      </c>
      <c r="B13" s="24">
        <v>45778</v>
      </c>
      <c r="C13" s="12" t="s">
        <v>124</v>
      </c>
      <c r="D13" s="12" t="s">
        <v>125</v>
      </c>
      <c r="E13" t="str">
        <f>IF(A13&lt;&gt;"","EM ANDAMENTO","")</f>
        <v>EM ANDAMENTO</v>
      </c>
      <c r="F13" t="s">
        <v>26</v>
      </c>
      <c r="G13" t="s">
        <v>27</v>
      </c>
      <c r="H13" t="s">
        <v>30</v>
      </c>
      <c r="I13" s="10" t="s">
        <v>16</v>
      </c>
      <c r="J13" s="1" t="s">
        <v>153</v>
      </c>
      <c r="K13" s="30" t="s">
        <v>185</v>
      </c>
    </row>
    <row r="14" spans="1:14" x14ac:dyDescent="0.25">
      <c r="A14" s="3">
        <v>68</v>
      </c>
      <c r="B14" s="24">
        <v>45778</v>
      </c>
      <c r="C14" s="12" t="s">
        <v>140</v>
      </c>
      <c r="D14" s="12" t="s">
        <v>141</v>
      </c>
      <c r="E14" t="str">
        <f>IF(A14&lt;&gt;"","EM ANDAMENTO","")</f>
        <v>EM ANDAMENTO</v>
      </c>
      <c r="F14" t="s">
        <v>26</v>
      </c>
      <c r="G14" t="s">
        <v>27</v>
      </c>
      <c r="H14" t="s">
        <v>29</v>
      </c>
      <c r="I14" s="10" t="s">
        <v>16</v>
      </c>
      <c r="J14" s="1" t="s">
        <v>166</v>
      </c>
      <c r="K14" s="30"/>
    </row>
    <row r="15" spans="1:14" x14ac:dyDescent="0.25">
      <c r="A15" s="3">
        <v>63</v>
      </c>
      <c r="B15" s="24">
        <v>45778</v>
      </c>
      <c r="C15" s="12" t="s">
        <v>130</v>
      </c>
      <c r="D15" s="12" t="s">
        <v>133</v>
      </c>
      <c r="E15" s="38" t="str">
        <f>IF(A15&lt;&gt;"","EM ANDAMENTO","")</f>
        <v>EM ANDAMENTO</v>
      </c>
      <c r="F15" t="s">
        <v>26</v>
      </c>
      <c r="G15" t="s">
        <v>27</v>
      </c>
      <c r="H15" t="s">
        <v>30</v>
      </c>
      <c r="I15" s="10" t="s">
        <v>16</v>
      </c>
      <c r="J15" s="1" t="s">
        <v>166</v>
      </c>
      <c r="K15" s="30" t="s">
        <v>213</v>
      </c>
    </row>
  </sheetData>
  <phoneticPr fontId="1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3D72D-A4E6-4654-8D23-EED02C66A87C}">
  <sheetPr codeName="Planilha4"/>
  <dimension ref="A1:N30"/>
  <sheetViews>
    <sheetView showGridLines="0" workbookViewId="0">
      <pane ySplit="1" topLeftCell="A2" activePane="bottomLeft" state="frozen"/>
      <selection pane="bottomLeft" activeCell="F33" sqref="F33"/>
    </sheetView>
  </sheetViews>
  <sheetFormatPr defaultRowHeight="15" x14ac:dyDescent="0.25"/>
  <cols>
    <col min="1" max="1" width="15.7109375" customWidth="1"/>
    <col min="2" max="2" width="19.140625" style="1" customWidth="1"/>
    <col min="3" max="3" width="42.42578125" bestFit="1" customWidth="1"/>
    <col min="4" max="4" width="15.7109375" customWidth="1"/>
    <col min="5" max="5" width="15.7109375" style="1" customWidth="1"/>
    <col min="6" max="6" width="18.28515625" style="1" bestFit="1" customWidth="1"/>
    <col min="7" max="7" width="12.5703125" style="1" bestFit="1" customWidth="1"/>
    <col min="8" max="8" width="16.42578125" style="1" bestFit="1" customWidth="1"/>
    <col min="9" max="9" width="9.5703125" style="1" bestFit="1" customWidth="1"/>
    <col min="10" max="10" width="11.140625" style="1" bestFit="1" customWidth="1"/>
    <col min="11" max="11" width="25" style="1" bestFit="1" customWidth="1"/>
    <col min="12" max="12" width="25.28515625" style="1" bestFit="1" customWidth="1"/>
    <col min="14" max="14" width="9.140625" style="18"/>
  </cols>
  <sheetData>
    <row r="1" spans="1:14" ht="51.75" customHeight="1" x14ac:dyDescent="0.25">
      <c r="A1" s="3" t="s">
        <v>5</v>
      </c>
      <c r="B1" s="2" t="s">
        <v>0</v>
      </c>
      <c r="C1" s="3" t="s">
        <v>1</v>
      </c>
      <c r="D1" s="3" t="s">
        <v>2</v>
      </c>
      <c r="E1" s="3" t="s">
        <v>3</v>
      </c>
      <c r="F1" s="3" t="s">
        <v>6</v>
      </c>
      <c r="G1" s="3" t="s">
        <v>4</v>
      </c>
      <c r="H1" s="3" t="s">
        <v>9</v>
      </c>
      <c r="I1" s="3" t="s">
        <v>10</v>
      </c>
      <c r="J1" s="3" t="s">
        <v>146</v>
      </c>
      <c r="K1" s="3" t="s">
        <v>25</v>
      </c>
      <c r="L1" s="3" t="s">
        <v>150</v>
      </c>
      <c r="M1" s="3" t="s">
        <v>163</v>
      </c>
    </row>
    <row r="2" spans="1:14" x14ac:dyDescent="0.25">
      <c r="A2">
        <v>57</v>
      </c>
      <c r="B2" s="24">
        <v>45748</v>
      </c>
      <c r="C2" s="12" t="s">
        <v>138</v>
      </c>
      <c r="D2" s="12" t="s">
        <v>139</v>
      </c>
      <c r="E2" s="3" t="str">
        <f t="shared" ref="E2" si="0">IF(A2&lt;&gt;"","CONCLUÍDA","")</f>
        <v>CONCLUÍDA</v>
      </c>
      <c r="F2" s="1" t="s">
        <v>26</v>
      </c>
      <c r="G2" s="1" t="s">
        <v>27</v>
      </c>
      <c r="H2" s="1" t="s">
        <v>29</v>
      </c>
      <c r="I2" s="1" t="s">
        <v>15</v>
      </c>
      <c r="J2" s="1" t="s">
        <v>152</v>
      </c>
      <c r="K2" s="2">
        <v>45777</v>
      </c>
      <c r="L2" s="3">
        <f t="shared" ref="L2:L4" si="1">IF(K2="", "", K2 - B2)</f>
        <v>29</v>
      </c>
      <c r="M2" s="3" t="s">
        <v>27</v>
      </c>
      <c r="N2" s="17"/>
    </row>
    <row r="3" spans="1:14" x14ac:dyDescent="0.25">
      <c r="A3" s="3">
        <v>44</v>
      </c>
      <c r="B3" s="24">
        <v>45748</v>
      </c>
      <c r="C3" s="12" t="s">
        <v>116</v>
      </c>
      <c r="D3" s="12" t="s">
        <v>117</v>
      </c>
      <c r="E3" s="3" t="str">
        <f t="shared" ref="E3:E14" si="2">IF(A3&lt;&gt;"","CONCLUÍDA","")</f>
        <v>CONCLUÍDA</v>
      </c>
      <c r="F3" s="1" t="s">
        <v>7</v>
      </c>
      <c r="G3" s="1" t="s">
        <v>8</v>
      </c>
      <c r="H3" s="1" t="s">
        <v>30</v>
      </c>
      <c r="I3" s="1" t="s">
        <v>15</v>
      </c>
      <c r="J3" s="1" t="s">
        <v>153</v>
      </c>
      <c r="K3" s="2">
        <v>45757</v>
      </c>
      <c r="L3" s="3">
        <f t="shared" si="1"/>
        <v>9</v>
      </c>
      <c r="M3" s="3"/>
    </row>
    <row r="4" spans="1:14" x14ac:dyDescent="0.25">
      <c r="A4" s="3">
        <v>45</v>
      </c>
      <c r="B4" s="24">
        <v>45748</v>
      </c>
      <c r="C4" s="12" t="s">
        <v>118</v>
      </c>
      <c r="D4" s="12" t="s">
        <v>119</v>
      </c>
      <c r="E4" s="3" t="str">
        <f t="shared" si="2"/>
        <v>CONCLUÍDA</v>
      </c>
      <c r="F4" s="1" t="s">
        <v>7</v>
      </c>
      <c r="G4" s="1" t="s">
        <v>8</v>
      </c>
      <c r="H4" s="1" t="s">
        <v>30</v>
      </c>
      <c r="I4" s="1" t="s">
        <v>15</v>
      </c>
      <c r="J4" s="1" t="s">
        <v>153</v>
      </c>
      <c r="K4" s="2">
        <v>45757</v>
      </c>
      <c r="L4" s="3">
        <f t="shared" si="1"/>
        <v>9</v>
      </c>
      <c r="M4" s="3"/>
    </row>
    <row r="5" spans="1:14" x14ac:dyDescent="0.25">
      <c r="A5" s="3">
        <v>59</v>
      </c>
      <c r="B5" s="24">
        <v>45748</v>
      </c>
      <c r="C5" s="12" t="s">
        <v>142</v>
      </c>
      <c r="D5" s="12" t="s">
        <v>143</v>
      </c>
      <c r="E5" s="3" t="str">
        <f t="shared" si="2"/>
        <v>CONCLUÍDA</v>
      </c>
      <c r="F5" s="1" t="s">
        <v>26</v>
      </c>
      <c r="G5" s="1" t="s">
        <v>8</v>
      </c>
      <c r="H5" s="1" t="s">
        <v>30</v>
      </c>
      <c r="I5" s="1" t="s">
        <v>15</v>
      </c>
      <c r="J5" s="1" t="s">
        <v>153</v>
      </c>
      <c r="K5" s="3"/>
      <c r="L5" s="3" t="str">
        <f t="shared" ref="L5:L14" si="3">IF(K5="", "", K5 - B5)</f>
        <v/>
      </c>
      <c r="M5" s="3"/>
    </row>
    <row r="6" spans="1:14" x14ac:dyDescent="0.25">
      <c r="A6" s="3">
        <v>62</v>
      </c>
      <c r="B6" s="24">
        <v>45784</v>
      </c>
      <c r="C6" s="12" t="s">
        <v>164</v>
      </c>
      <c r="D6" s="12" t="s">
        <v>165</v>
      </c>
      <c r="E6" s="3" t="str">
        <f t="shared" si="2"/>
        <v>CONCLUÍDA</v>
      </c>
      <c r="F6" s="1" t="s">
        <v>26</v>
      </c>
      <c r="G6" s="1" t="s">
        <v>8</v>
      </c>
      <c r="H6" s="1" t="s">
        <v>29</v>
      </c>
      <c r="I6" s="1" t="s">
        <v>16</v>
      </c>
      <c r="J6" s="1" t="s">
        <v>152</v>
      </c>
      <c r="K6" s="2">
        <v>45784</v>
      </c>
      <c r="L6" s="3">
        <f t="shared" si="3"/>
        <v>0</v>
      </c>
      <c r="M6" s="3"/>
    </row>
    <row r="7" spans="1:14" x14ac:dyDescent="0.25">
      <c r="A7" s="3">
        <v>52</v>
      </c>
      <c r="B7" s="24">
        <v>45748</v>
      </c>
      <c r="C7" s="12" t="s">
        <v>130</v>
      </c>
      <c r="D7" s="12" t="s">
        <v>133</v>
      </c>
      <c r="E7" s="3" t="str">
        <f t="shared" si="2"/>
        <v>CONCLUÍDA</v>
      </c>
      <c r="F7" s="1" t="s">
        <v>26</v>
      </c>
      <c r="G7" s="1" t="s">
        <v>27</v>
      </c>
      <c r="H7" s="1" t="s">
        <v>30</v>
      </c>
      <c r="I7" s="1" t="s">
        <v>15</v>
      </c>
      <c r="J7" s="1" t="s">
        <v>166</v>
      </c>
      <c r="K7" s="2">
        <v>45764</v>
      </c>
      <c r="L7" s="3">
        <f t="shared" si="3"/>
        <v>16</v>
      </c>
      <c r="M7" s="3" t="s">
        <v>27</v>
      </c>
    </row>
    <row r="8" spans="1:14" x14ac:dyDescent="0.25">
      <c r="A8" s="3">
        <v>53</v>
      </c>
      <c r="B8" s="24">
        <v>45748</v>
      </c>
      <c r="C8" s="12" t="s">
        <v>131</v>
      </c>
      <c r="D8" s="12" t="s">
        <v>133</v>
      </c>
      <c r="E8" s="3" t="str">
        <f t="shared" si="2"/>
        <v>CONCLUÍDA</v>
      </c>
      <c r="F8" s="1" t="s">
        <v>26</v>
      </c>
      <c r="G8" s="1" t="s">
        <v>27</v>
      </c>
      <c r="H8" s="1" t="s">
        <v>30</v>
      </c>
      <c r="I8" s="1" t="s">
        <v>15</v>
      </c>
      <c r="J8" s="1" t="s">
        <v>166</v>
      </c>
      <c r="K8" s="2">
        <v>45764</v>
      </c>
      <c r="L8" s="3">
        <f t="shared" si="3"/>
        <v>16</v>
      </c>
      <c r="M8" s="3" t="s">
        <v>27</v>
      </c>
    </row>
    <row r="9" spans="1:14" x14ac:dyDescent="0.25">
      <c r="A9" s="3">
        <v>54</v>
      </c>
      <c r="B9" s="24">
        <v>45748</v>
      </c>
      <c r="C9" s="12" t="s">
        <v>134</v>
      </c>
      <c r="D9" s="12" t="s">
        <v>133</v>
      </c>
      <c r="E9" s="3" t="str">
        <f t="shared" si="2"/>
        <v>CONCLUÍDA</v>
      </c>
      <c r="F9" s="1" t="s">
        <v>26</v>
      </c>
      <c r="G9" s="1" t="s">
        <v>27</v>
      </c>
      <c r="H9" s="1" t="s">
        <v>29</v>
      </c>
      <c r="I9" s="1" t="s">
        <v>15</v>
      </c>
      <c r="J9" s="1" t="s">
        <v>167</v>
      </c>
      <c r="K9" s="2">
        <v>45777</v>
      </c>
      <c r="L9" s="3">
        <f t="shared" si="3"/>
        <v>29</v>
      </c>
      <c r="M9" s="3" t="s">
        <v>27</v>
      </c>
    </row>
    <row r="10" spans="1:14" x14ac:dyDescent="0.25">
      <c r="A10" s="3">
        <v>55</v>
      </c>
      <c r="B10" s="24">
        <v>45748</v>
      </c>
      <c r="C10" s="12" t="s">
        <v>135</v>
      </c>
      <c r="D10" s="12" t="s">
        <v>136</v>
      </c>
      <c r="E10" s="3" t="str">
        <f t="shared" si="2"/>
        <v>CONCLUÍDA</v>
      </c>
      <c r="F10" s="1" t="s">
        <v>26</v>
      </c>
      <c r="G10" s="1" t="s">
        <v>27</v>
      </c>
      <c r="H10" s="1" t="s">
        <v>29</v>
      </c>
      <c r="I10" s="1" t="s">
        <v>15</v>
      </c>
      <c r="J10" s="1" t="s">
        <v>166</v>
      </c>
      <c r="K10" s="2">
        <v>45759</v>
      </c>
      <c r="L10" s="3">
        <f t="shared" si="3"/>
        <v>11</v>
      </c>
      <c r="M10" s="3" t="s">
        <v>27</v>
      </c>
    </row>
    <row r="11" spans="1:14" x14ac:dyDescent="0.25">
      <c r="A11" s="3">
        <v>56</v>
      </c>
      <c r="B11" s="24">
        <v>45748</v>
      </c>
      <c r="C11" s="12" t="s">
        <v>137</v>
      </c>
      <c r="D11" s="12" t="s">
        <v>136</v>
      </c>
      <c r="E11" s="3" t="str">
        <f t="shared" si="2"/>
        <v>CONCLUÍDA</v>
      </c>
      <c r="F11" s="1" t="s">
        <v>26</v>
      </c>
      <c r="G11" s="1" t="s">
        <v>27</v>
      </c>
      <c r="H11" s="1" t="s">
        <v>29</v>
      </c>
      <c r="I11" s="1" t="s">
        <v>15</v>
      </c>
      <c r="J11" s="1" t="s">
        <v>166</v>
      </c>
      <c r="K11" s="2">
        <v>45757</v>
      </c>
      <c r="L11" s="3">
        <f t="shared" si="3"/>
        <v>9</v>
      </c>
      <c r="M11" s="3" t="s">
        <v>27</v>
      </c>
    </row>
    <row r="12" spans="1:14" x14ac:dyDescent="0.25">
      <c r="A12" s="3">
        <v>58</v>
      </c>
      <c r="B12" s="24">
        <v>45748</v>
      </c>
      <c r="C12" s="12" t="s">
        <v>140</v>
      </c>
      <c r="D12" s="12" t="s">
        <v>141</v>
      </c>
      <c r="E12" s="3" t="str">
        <f t="shared" si="2"/>
        <v>CONCLUÍDA</v>
      </c>
      <c r="F12" s="1" t="s">
        <v>26</v>
      </c>
      <c r="G12" s="1" t="s">
        <v>27</v>
      </c>
      <c r="H12" s="1" t="s">
        <v>29</v>
      </c>
      <c r="I12" s="1" t="s">
        <v>15</v>
      </c>
      <c r="J12" s="1" t="s">
        <v>166</v>
      </c>
      <c r="K12" s="2">
        <v>45777</v>
      </c>
      <c r="L12" s="3">
        <f t="shared" si="3"/>
        <v>29</v>
      </c>
      <c r="M12" s="3" t="s">
        <v>27</v>
      </c>
    </row>
    <row r="13" spans="1:14" x14ac:dyDescent="0.25">
      <c r="A13" s="3">
        <v>14</v>
      </c>
      <c r="B13" s="24">
        <v>45748</v>
      </c>
      <c r="C13" s="12" t="s">
        <v>56</v>
      </c>
      <c r="D13" s="12" t="s">
        <v>57</v>
      </c>
      <c r="E13" s="3" t="str">
        <f t="shared" si="2"/>
        <v>CONCLUÍDA</v>
      </c>
      <c r="F13" s="1" t="s">
        <v>26</v>
      </c>
      <c r="G13" s="1" t="s">
        <v>27</v>
      </c>
      <c r="H13" s="1" t="s">
        <v>28</v>
      </c>
      <c r="I13" s="1" t="s">
        <v>15</v>
      </c>
      <c r="J13" s="1" t="s">
        <v>166</v>
      </c>
      <c r="K13" s="2">
        <v>45757</v>
      </c>
      <c r="L13" s="3">
        <f t="shared" si="3"/>
        <v>9</v>
      </c>
      <c r="M13" s="3" t="s">
        <v>27</v>
      </c>
    </row>
    <row r="14" spans="1:14" x14ac:dyDescent="0.25">
      <c r="A14" s="3">
        <v>15</v>
      </c>
      <c r="B14" s="24">
        <v>45748</v>
      </c>
      <c r="C14" s="12" t="s">
        <v>58</v>
      </c>
      <c r="D14" s="12" t="s">
        <v>59</v>
      </c>
      <c r="E14" s="3" t="str">
        <f t="shared" si="2"/>
        <v>CONCLUÍDA</v>
      </c>
      <c r="F14" s="1" t="s">
        <v>26</v>
      </c>
      <c r="G14" s="1" t="s">
        <v>27</v>
      </c>
      <c r="H14" s="1" t="s">
        <v>28</v>
      </c>
      <c r="I14" s="1" t="s">
        <v>15</v>
      </c>
      <c r="J14" s="1" t="s">
        <v>166</v>
      </c>
      <c r="K14" s="2">
        <v>45757</v>
      </c>
      <c r="L14" s="3">
        <f t="shared" si="3"/>
        <v>9</v>
      </c>
      <c r="M14" s="3" t="s">
        <v>27</v>
      </c>
    </row>
    <row r="15" spans="1:14" x14ac:dyDescent="0.25">
      <c r="A15" s="3">
        <v>30</v>
      </c>
      <c r="B15" s="24">
        <v>45748</v>
      </c>
      <c r="C15" s="12" t="s">
        <v>88</v>
      </c>
      <c r="D15" s="12" t="s">
        <v>89</v>
      </c>
      <c r="E15" s="3" t="str">
        <f t="shared" ref="E15:E23" si="4">IF(A15&lt;&gt;"","CONCLUÍDA","")</f>
        <v>CONCLUÍDA</v>
      </c>
      <c r="F15" s="1" t="s">
        <v>7</v>
      </c>
      <c r="G15" s="1" t="s">
        <v>8</v>
      </c>
      <c r="H15" s="1" t="s">
        <v>29</v>
      </c>
      <c r="I15" s="1" t="s">
        <v>15</v>
      </c>
      <c r="J15" s="1" t="s">
        <v>166</v>
      </c>
      <c r="K15" s="2">
        <v>45786</v>
      </c>
      <c r="L15" s="3">
        <f t="shared" ref="L15:L23" si="5">IF(K15="", "", K15 - B15)</f>
        <v>38</v>
      </c>
      <c r="M15" s="3"/>
    </row>
    <row r="16" spans="1:14" x14ac:dyDescent="0.25">
      <c r="A16" s="3">
        <v>49</v>
      </c>
      <c r="B16" s="24">
        <v>45778</v>
      </c>
      <c r="C16" s="12" t="s">
        <v>126</v>
      </c>
      <c r="D16" s="12" t="s">
        <v>127</v>
      </c>
      <c r="E16" s="3" t="str">
        <f t="shared" si="4"/>
        <v>CONCLUÍDA</v>
      </c>
      <c r="F16" s="1" t="s">
        <v>26</v>
      </c>
      <c r="G16" s="1" t="s">
        <v>27</v>
      </c>
      <c r="H16" s="1" t="s">
        <v>30</v>
      </c>
      <c r="I16" s="1" t="s">
        <v>15</v>
      </c>
      <c r="J16" s="1" t="s">
        <v>152</v>
      </c>
      <c r="K16" s="2">
        <v>45790</v>
      </c>
      <c r="L16" s="3">
        <f t="shared" si="5"/>
        <v>12</v>
      </c>
      <c r="M16" s="3" t="s">
        <v>27</v>
      </c>
    </row>
    <row r="17" spans="1:13" x14ac:dyDescent="0.25">
      <c r="A17" s="3">
        <v>69</v>
      </c>
      <c r="B17" s="24">
        <v>45778</v>
      </c>
      <c r="C17" s="12" t="s">
        <v>168</v>
      </c>
      <c r="D17" s="12" t="s">
        <v>169</v>
      </c>
      <c r="E17" s="3" t="str">
        <f t="shared" si="4"/>
        <v>CONCLUÍDA</v>
      </c>
      <c r="F17" s="1" t="s">
        <v>26</v>
      </c>
      <c r="G17" s="1" t="s">
        <v>27</v>
      </c>
      <c r="H17" s="1" t="s">
        <v>29</v>
      </c>
      <c r="I17" s="1" t="s">
        <v>16</v>
      </c>
      <c r="J17" s="1" t="s">
        <v>153</v>
      </c>
      <c r="K17" s="2">
        <v>45790</v>
      </c>
      <c r="L17" s="3">
        <f t="shared" si="5"/>
        <v>12</v>
      </c>
      <c r="M17" s="3" t="s">
        <v>27</v>
      </c>
    </row>
    <row r="18" spans="1:13" x14ac:dyDescent="0.25">
      <c r="A18" s="3">
        <v>50</v>
      </c>
      <c r="B18" s="24">
        <v>45748</v>
      </c>
      <c r="C18" s="12" t="s">
        <v>128</v>
      </c>
      <c r="D18" s="12" t="s">
        <v>132</v>
      </c>
      <c r="E18" s="3" t="str">
        <f t="shared" si="4"/>
        <v>CONCLUÍDA</v>
      </c>
      <c r="F18" s="1" t="s">
        <v>26</v>
      </c>
      <c r="G18" s="1" t="s">
        <v>27</v>
      </c>
      <c r="H18" s="1" t="s">
        <v>30</v>
      </c>
      <c r="I18" s="1" t="s">
        <v>15</v>
      </c>
      <c r="J18" s="1" t="s">
        <v>166</v>
      </c>
      <c r="K18" s="2">
        <v>45767</v>
      </c>
      <c r="L18" s="3">
        <f t="shared" si="5"/>
        <v>19</v>
      </c>
      <c r="M18" s="3" t="s">
        <v>27</v>
      </c>
    </row>
    <row r="19" spans="1:13" x14ac:dyDescent="0.25">
      <c r="A19" s="3">
        <v>51</v>
      </c>
      <c r="B19" s="24">
        <v>45748</v>
      </c>
      <c r="C19" s="12" t="s">
        <v>129</v>
      </c>
      <c r="D19" s="12" t="s">
        <v>132</v>
      </c>
      <c r="E19" s="3" t="str">
        <f t="shared" si="4"/>
        <v>CONCLUÍDA</v>
      </c>
      <c r="F19" s="1" t="s">
        <v>26</v>
      </c>
      <c r="G19" s="1" t="s">
        <v>27</v>
      </c>
      <c r="H19" s="1" t="s">
        <v>30</v>
      </c>
      <c r="I19" s="1" t="s">
        <v>15</v>
      </c>
      <c r="J19" s="1" t="s">
        <v>166</v>
      </c>
      <c r="K19" s="2">
        <v>45767</v>
      </c>
      <c r="L19" s="3">
        <f t="shared" si="5"/>
        <v>19</v>
      </c>
      <c r="M19" s="3" t="s">
        <v>27</v>
      </c>
    </row>
    <row r="20" spans="1:13" x14ac:dyDescent="0.25">
      <c r="A20" s="3">
        <v>70</v>
      </c>
      <c r="B20" s="24">
        <v>45778</v>
      </c>
      <c r="C20" s="12" t="s">
        <v>56</v>
      </c>
      <c r="D20" s="12" t="s">
        <v>57</v>
      </c>
      <c r="E20" s="3" t="str">
        <f t="shared" si="4"/>
        <v>CONCLUÍDA</v>
      </c>
      <c r="F20" s="1" t="s">
        <v>26</v>
      </c>
      <c r="G20" s="1" t="s">
        <v>27</v>
      </c>
      <c r="H20" s="1" t="s">
        <v>28</v>
      </c>
      <c r="I20" s="1" t="s">
        <v>16</v>
      </c>
      <c r="J20" s="1" t="s">
        <v>166</v>
      </c>
      <c r="K20" s="2">
        <v>45791</v>
      </c>
      <c r="L20" s="3">
        <f t="shared" si="5"/>
        <v>13</v>
      </c>
      <c r="M20" s="3" t="s">
        <v>27</v>
      </c>
    </row>
    <row r="21" spans="1:13" x14ac:dyDescent="0.25">
      <c r="A21" s="3">
        <v>77</v>
      </c>
      <c r="B21" s="24">
        <v>45778</v>
      </c>
      <c r="C21" s="12" t="s">
        <v>173</v>
      </c>
      <c r="D21" s="12" t="s">
        <v>174</v>
      </c>
      <c r="E21" s="3" t="str">
        <f t="shared" si="4"/>
        <v>CONCLUÍDA</v>
      </c>
      <c r="F21" s="1" t="s">
        <v>26</v>
      </c>
      <c r="G21" s="1" t="s">
        <v>27</v>
      </c>
      <c r="H21" s="1" t="s">
        <v>29</v>
      </c>
      <c r="I21" s="1" t="s">
        <v>16</v>
      </c>
      <c r="J21" s="1" t="s">
        <v>166</v>
      </c>
      <c r="K21" s="2">
        <v>45791</v>
      </c>
      <c r="L21" s="3">
        <f t="shared" si="5"/>
        <v>13</v>
      </c>
      <c r="M21" s="3" t="s">
        <v>27</v>
      </c>
    </row>
    <row r="22" spans="1:13" x14ac:dyDescent="0.25">
      <c r="A22" s="3">
        <v>32</v>
      </c>
      <c r="B22" s="24">
        <v>45792</v>
      </c>
      <c r="C22" s="12" t="s">
        <v>92</v>
      </c>
      <c r="D22" s="12" t="s">
        <v>93</v>
      </c>
      <c r="E22" s="3" t="str">
        <f t="shared" si="4"/>
        <v>CONCLUÍDA</v>
      </c>
      <c r="F22" s="1" t="s">
        <v>7</v>
      </c>
      <c r="G22" s="1" t="s">
        <v>27</v>
      </c>
      <c r="H22" s="1" t="s">
        <v>29</v>
      </c>
      <c r="I22" s="1" t="s">
        <v>16</v>
      </c>
      <c r="J22" s="1" t="s">
        <v>153</v>
      </c>
      <c r="K22" s="2">
        <v>45792</v>
      </c>
      <c r="L22" s="3">
        <f t="shared" si="5"/>
        <v>0</v>
      </c>
      <c r="M22" s="3" t="s">
        <v>27</v>
      </c>
    </row>
    <row r="23" spans="1:13" x14ac:dyDescent="0.25">
      <c r="A23" s="3">
        <v>31</v>
      </c>
      <c r="B23" s="24">
        <v>45785</v>
      </c>
      <c r="C23" s="12" t="s">
        <v>90</v>
      </c>
      <c r="D23" s="12" t="s">
        <v>91</v>
      </c>
      <c r="E23" s="3" t="str">
        <f t="shared" si="4"/>
        <v>CONCLUÍDA</v>
      </c>
      <c r="F23" s="1" t="s">
        <v>7</v>
      </c>
      <c r="G23" s="1" t="s">
        <v>27</v>
      </c>
      <c r="H23" s="1" t="s">
        <v>29</v>
      </c>
      <c r="I23" s="1" t="s">
        <v>16</v>
      </c>
      <c r="J23" s="1" t="s">
        <v>153</v>
      </c>
      <c r="K23" s="2">
        <v>45785</v>
      </c>
      <c r="L23" s="3">
        <f t="shared" si="5"/>
        <v>0</v>
      </c>
      <c r="M23" s="3" t="s">
        <v>27</v>
      </c>
    </row>
    <row r="24" spans="1:13" x14ac:dyDescent="0.25">
      <c r="A24" s="3">
        <v>84</v>
      </c>
      <c r="B24" s="24">
        <v>45778</v>
      </c>
      <c r="C24" s="12" t="s">
        <v>183</v>
      </c>
      <c r="D24" s="12" t="s">
        <v>184</v>
      </c>
      <c r="E24" s="3" t="str">
        <f>IF(A24&lt;&gt;"","CONCLUÍDA","")</f>
        <v>CONCLUÍDA</v>
      </c>
      <c r="F24" s="1" t="s">
        <v>26</v>
      </c>
      <c r="G24" s="1" t="s">
        <v>27</v>
      </c>
      <c r="H24" s="1" t="s">
        <v>29</v>
      </c>
      <c r="I24" s="1" t="s">
        <v>16</v>
      </c>
      <c r="J24" s="1" t="s">
        <v>152</v>
      </c>
      <c r="K24" s="2">
        <v>45791</v>
      </c>
      <c r="L24" s="3">
        <f>IF(K24="", "", K24 - B24)</f>
        <v>13</v>
      </c>
      <c r="M24" s="3" t="s">
        <v>27</v>
      </c>
    </row>
    <row r="25" spans="1:13" x14ac:dyDescent="0.25">
      <c r="A25" s="3">
        <v>78</v>
      </c>
      <c r="B25" s="24">
        <v>45778</v>
      </c>
      <c r="C25" s="12" t="s">
        <v>175</v>
      </c>
      <c r="D25" s="12" t="s">
        <v>176</v>
      </c>
      <c r="E25" s="3" t="str">
        <f>IF(A25&lt;&gt;"","CONCLUÍDA","")</f>
        <v>CONCLUÍDA</v>
      </c>
      <c r="F25" s="1" t="s">
        <v>26</v>
      </c>
      <c r="G25" s="1" t="s">
        <v>27</v>
      </c>
      <c r="H25" s="1" t="s">
        <v>29</v>
      </c>
      <c r="I25" s="1" t="s">
        <v>16</v>
      </c>
      <c r="J25" s="1" t="s">
        <v>166</v>
      </c>
      <c r="K25" s="2">
        <v>45791</v>
      </c>
      <c r="L25" s="3">
        <f>IF(K25="", "", K25 - B25)</f>
        <v>13</v>
      </c>
      <c r="M25" s="3" t="s">
        <v>27</v>
      </c>
    </row>
    <row r="26" spans="1:13" x14ac:dyDescent="0.25">
      <c r="A26" s="3">
        <v>48</v>
      </c>
      <c r="B26" s="24">
        <v>45748</v>
      </c>
      <c r="C26" s="12" t="s">
        <v>124</v>
      </c>
      <c r="D26" s="12" t="s">
        <v>125</v>
      </c>
      <c r="E26" s="3" t="str">
        <f>IF(A26&lt;&gt;"","CONCLUÍDA","")</f>
        <v>CONCLUÍDA</v>
      </c>
      <c r="F26" s="1" t="s">
        <v>26</v>
      </c>
      <c r="G26" s="1" t="s">
        <v>27</v>
      </c>
      <c r="H26" s="1" t="s">
        <v>30</v>
      </c>
      <c r="I26" s="1" t="s">
        <v>15</v>
      </c>
      <c r="J26" s="1" t="s">
        <v>153</v>
      </c>
      <c r="K26" s="2">
        <v>45777</v>
      </c>
      <c r="L26" s="3">
        <f>IF(K26="", "", K26 - B26)</f>
        <v>29</v>
      </c>
      <c r="M26" s="3" t="s">
        <v>27</v>
      </c>
    </row>
    <row r="27" spans="1:13" x14ac:dyDescent="0.25">
      <c r="A27" s="3">
        <v>76</v>
      </c>
      <c r="B27" s="24">
        <v>45778</v>
      </c>
      <c r="C27" s="12" t="s">
        <v>129</v>
      </c>
      <c r="D27" s="12" t="s">
        <v>132</v>
      </c>
      <c r="E27" s="3" t="str">
        <f>IF(A27&lt;&gt;"","CONCLUÍDA","")</f>
        <v>CONCLUÍDA</v>
      </c>
      <c r="F27" s="1" t="s">
        <v>26</v>
      </c>
      <c r="G27" s="1" t="s">
        <v>27</v>
      </c>
      <c r="H27" s="1" t="s">
        <v>30</v>
      </c>
      <c r="I27" s="1" t="s">
        <v>16</v>
      </c>
      <c r="J27" s="1" t="s">
        <v>166</v>
      </c>
      <c r="K27" s="2">
        <v>45792</v>
      </c>
      <c r="L27" s="3">
        <f>IF(K27="", "", K27 - B27)</f>
        <v>14</v>
      </c>
      <c r="M27" s="3" t="s">
        <v>27</v>
      </c>
    </row>
    <row r="28" spans="1:13" x14ac:dyDescent="0.25">
      <c r="A28" s="3">
        <v>66</v>
      </c>
      <c r="B28" s="24">
        <v>45778</v>
      </c>
      <c r="C28" s="12" t="s">
        <v>135</v>
      </c>
      <c r="D28" s="12" t="s">
        <v>136</v>
      </c>
      <c r="E28" s="3" t="str">
        <f>IF(A28&lt;&gt;"","CONCLUÍDA","")</f>
        <v>CONCLUÍDA</v>
      </c>
      <c r="F28" s="1" t="s">
        <v>26</v>
      </c>
      <c r="G28" s="1" t="s">
        <v>27</v>
      </c>
      <c r="H28" s="1" t="s">
        <v>29</v>
      </c>
      <c r="I28" s="1" t="s">
        <v>16</v>
      </c>
      <c r="J28" s="1" t="s">
        <v>166</v>
      </c>
      <c r="K28" s="2">
        <v>45792</v>
      </c>
      <c r="L28" s="3">
        <f>IF(K28="", "", K28 - B28)</f>
        <v>14</v>
      </c>
      <c r="M28" s="3" t="s">
        <v>27</v>
      </c>
    </row>
    <row r="29" spans="1:13" x14ac:dyDescent="0.25">
      <c r="A29" s="3">
        <v>75</v>
      </c>
      <c r="B29" s="24">
        <v>45778</v>
      </c>
      <c r="C29" s="12" t="s">
        <v>128</v>
      </c>
      <c r="D29" s="12" t="s">
        <v>132</v>
      </c>
      <c r="E29" s="37" t="str">
        <f>IF(A29&lt;&gt;"","CONCLUÍDA","")</f>
        <v>CONCLUÍDA</v>
      </c>
      <c r="F29" s="1" t="s">
        <v>26</v>
      </c>
      <c r="G29" s="1" t="s">
        <v>27</v>
      </c>
      <c r="H29" s="1" t="s">
        <v>30</v>
      </c>
      <c r="I29" s="1" t="s">
        <v>16</v>
      </c>
      <c r="J29" s="1" t="s">
        <v>166</v>
      </c>
      <c r="K29" s="2">
        <v>45797</v>
      </c>
      <c r="L29" s="37">
        <f>IF(K29="", "", K29 - B29)</f>
        <v>19</v>
      </c>
      <c r="M29" s="3" t="s">
        <v>27</v>
      </c>
    </row>
    <row r="30" spans="1:13" x14ac:dyDescent="0.25">
      <c r="A30" s="3">
        <v>67</v>
      </c>
      <c r="B30" s="24">
        <v>45778</v>
      </c>
      <c r="C30" s="12" t="s">
        <v>137</v>
      </c>
      <c r="D30" s="12" t="s">
        <v>136</v>
      </c>
      <c r="E30" s="37" t="str">
        <f>IF(A30&lt;&gt;"","CONCLUÍDA","")</f>
        <v>CONCLUÍDA</v>
      </c>
      <c r="F30" s="1" t="s">
        <v>26</v>
      </c>
      <c r="G30" s="1" t="s">
        <v>27</v>
      </c>
      <c r="H30" s="1" t="s">
        <v>29</v>
      </c>
      <c r="I30" s="1" t="s">
        <v>16</v>
      </c>
      <c r="J30" s="1" t="s">
        <v>166</v>
      </c>
      <c r="K30" s="2">
        <v>45797</v>
      </c>
      <c r="L30" s="37">
        <f>IF(K30="", "", K30 - B30)</f>
        <v>19</v>
      </c>
      <c r="M30" s="3" t="s">
        <v>27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10669-F3A5-4D78-984B-4D68AB615C04}">
  <sheetPr codeName="Planilha5"/>
  <dimension ref="A1:W52"/>
  <sheetViews>
    <sheetView showGridLines="0" showRowColHeaders="0" zoomScaleNormal="100" workbookViewId="0">
      <selection activeCell="V10" sqref="V10"/>
    </sheetView>
  </sheetViews>
  <sheetFormatPr defaultColWidth="9.140625" defaultRowHeight="15" x14ac:dyDescent="0.25"/>
  <cols>
    <col min="1" max="1" width="15.28515625" style="33" bestFit="1" customWidth="1"/>
    <col min="2" max="2" width="9.140625" style="33"/>
    <col min="3" max="3" width="18" style="33" bestFit="1" customWidth="1"/>
    <col min="4" max="4" width="10.5703125" style="33" bestFit="1" customWidth="1"/>
    <col min="5" max="5" width="14.7109375" style="33" bestFit="1" customWidth="1"/>
    <col min="6" max="6" width="10.5703125" style="33" bestFit="1" customWidth="1"/>
    <col min="7" max="7" width="18.42578125" style="33" bestFit="1" customWidth="1"/>
    <col min="8" max="8" width="15.140625" style="33" bestFit="1" customWidth="1"/>
    <col min="9" max="9" width="9.140625" style="33"/>
    <col min="10" max="10" width="15.28515625" style="34" bestFit="1" customWidth="1"/>
    <col min="11" max="11" width="9.7109375" style="33" bestFit="1" customWidth="1"/>
    <col min="12" max="14" width="9.140625" style="33"/>
    <col min="15" max="15" width="12.42578125" style="33" bestFit="1" customWidth="1"/>
    <col min="16" max="17" width="9.140625" style="33"/>
    <col min="18" max="19" width="18" style="33" bestFit="1" customWidth="1"/>
    <col min="20" max="20" width="23" style="33" bestFit="1" customWidth="1"/>
    <col min="21" max="21" width="18.85546875" style="33" bestFit="1" customWidth="1"/>
    <col min="22" max="22" width="33.28515625" style="33" bestFit="1" customWidth="1"/>
    <col min="23" max="23" width="23.42578125" style="33" bestFit="1" customWidth="1"/>
    <col min="24" max="16384" width="9.140625" style="33"/>
  </cols>
  <sheetData>
    <row r="1" spans="1:23" x14ac:dyDescent="0.25">
      <c r="A1"/>
      <c r="B1"/>
      <c r="C1" s="11" t="s">
        <v>24</v>
      </c>
      <c r="D1" t="s">
        <v>147</v>
      </c>
      <c r="E1"/>
      <c r="F1"/>
      <c r="G1"/>
      <c r="H1"/>
      <c r="I1"/>
      <c r="J1" s="10" t="s">
        <v>11</v>
      </c>
      <c r="K1" t="s">
        <v>158</v>
      </c>
      <c r="L1" t="s">
        <v>154</v>
      </c>
      <c r="M1" t="s">
        <v>147</v>
      </c>
      <c r="N1" t="s">
        <v>157</v>
      </c>
      <c r="O1" t="s">
        <v>155</v>
      </c>
      <c r="P1"/>
      <c r="Q1"/>
      <c r="R1" s="11" t="s">
        <v>24</v>
      </c>
      <c r="S1" t="s">
        <v>159</v>
      </c>
      <c r="T1" t="s">
        <v>160</v>
      </c>
      <c r="U1" t="s">
        <v>156</v>
      </c>
      <c r="V1" s="33" t="s">
        <v>161</v>
      </c>
      <c r="W1" s="33" t="s">
        <v>162</v>
      </c>
    </row>
    <row r="2" spans="1:23" x14ac:dyDescent="0.25">
      <c r="A2"/>
      <c r="B2"/>
      <c r="C2" s="12" t="s">
        <v>16</v>
      </c>
      <c r="D2" s="38">
        <v>12</v>
      </c>
      <c r="E2"/>
      <c r="F2"/>
      <c r="G2"/>
      <c r="H2"/>
      <c r="I2"/>
      <c r="J2" s="10" t="s">
        <v>12</v>
      </c>
      <c r="K2" s="10">
        <v>0</v>
      </c>
      <c r="L2" s="10">
        <v>0</v>
      </c>
      <c r="M2" s="10">
        <v>0</v>
      </c>
      <c r="N2"/>
      <c r="O2" s="10">
        <v>0</v>
      </c>
      <c r="P2"/>
      <c r="Q2"/>
      <c r="R2" s="12" t="s">
        <v>15</v>
      </c>
      <c r="S2" s="38">
        <v>39</v>
      </c>
      <c r="T2" s="38">
        <v>9</v>
      </c>
      <c r="U2" s="38">
        <v>17</v>
      </c>
      <c r="V2" s="39">
        <v>18.2</v>
      </c>
      <c r="W2" s="39">
        <v>65</v>
      </c>
    </row>
    <row r="3" spans="1:23" x14ac:dyDescent="0.25">
      <c r="A3"/>
      <c r="B3"/>
      <c r="C3"/>
      <c r="D3"/>
      <c r="E3"/>
      <c r="F3"/>
      <c r="G3"/>
      <c r="H3"/>
      <c r="I3"/>
      <c r="J3" s="10" t="s">
        <v>13</v>
      </c>
      <c r="K3" s="10">
        <v>0</v>
      </c>
      <c r="L3" s="10">
        <v>0</v>
      </c>
      <c r="M3" s="10">
        <v>0</v>
      </c>
      <c r="N3"/>
      <c r="O3" s="10">
        <v>0</v>
      </c>
      <c r="P3"/>
      <c r="Q3"/>
      <c r="R3"/>
      <c r="S3"/>
      <c r="T3"/>
      <c r="U3"/>
    </row>
    <row r="4" spans="1:23" x14ac:dyDescent="0.25">
      <c r="A4"/>
      <c r="B4"/>
      <c r="C4"/>
      <c r="D4">
        <f>D2</f>
        <v>12</v>
      </c>
      <c r="E4">
        <f>E2</f>
        <v>0</v>
      </c>
      <c r="F4">
        <f t="shared" ref="F4:G4" si="0">F2</f>
        <v>0</v>
      </c>
      <c r="G4">
        <f t="shared" si="0"/>
        <v>0</v>
      </c>
      <c r="H4">
        <f>H2</f>
        <v>0</v>
      </c>
      <c r="I4"/>
      <c r="J4" s="10" t="s">
        <v>14</v>
      </c>
      <c r="K4" s="10">
        <v>0</v>
      </c>
      <c r="L4" s="10">
        <v>0</v>
      </c>
      <c r="M4" s="10">
        <v>0</v>
      </c>
      <c r="N4"/>
      <c r="O4" s="10">
        <v>0</v>
      </c>
      <c r="P4"/>
      <c r="Q4"/>
      <c r="R4"/>
      <c r="S4">
        <f>S2</f>
        <v>39</v>
      </c>
      <c r="T4">
        <f>T2</f>
        <v>9</v>
      </c>
      <c r="U4">
        <f>U2</f>
        <v>17</v>
      </c>
      <c r="V4" s="33">
        <f>V2</f>
        <v>18.2</v>
      </c>
      <c r="W4" s="33">
        <f>W2</f>
        <v>65</v>
      </c>
    </row>
    <row r="5" spans="1:23" x14ac:dyDescent="0.25">
      <c r="A5"/>
      <c r="B5"/>
      <c r="C5"/>
      <c r="D5"/>
      <c r="E5"/>
      <c r="F5"/>
      <c r="G5"/>
      <c r="H5"/>
      <c r="I5"/>
      <c r="J5" s="10" t="s">
        <v>15</v>
      </c>
      <c r="K5" s="10">
        <v>39</v>
      </c>
      <c r="L5" s="10">
        <v>9</v>
      </c>
      <c r="M5" s="10">
        <v>17</v>
      </c>
      <c r="N5">
        <v>18.2</v>
      </c>
      <c r="O5" s="10">
        <v>65</v>
      </c>
      <c r="P5"/>
      <c r="Q5"/>
      <c r="R5"/>
      <c r="S5" s="35"/>
      <c r="T5" s="35"/>
      <c r="U5" s="35"/>
    </row>
    <row r="6" spans="1:23" x14ac:dyDescent="0.25">
      <c r="A6"/>
      <c r="B6"/>
      <c r="C6"/>
      <c r="D6"/>
      <c r="E6"/>
      <c r="F6"/>
      <c r="G6"/>
      <c r="H6"/>
      <c r="I6"/>
      <c r="J6" s="10" t="s">
        <v>16</v>
      </c>
      <c r="K6" s="10">
        <v>19</v>
      </c>
      <c r="L6" s="10">
        <v>5</v>
      </c>
      <c r="M6" s="10">
        <v>12</v>
      </c>
      <c r="N6">
        <v>10.8</v>
      </c>
      <c r="O6" s="10">
        <v>36</v>
      </c>
      <c r="P6"/>
      <c r="Q6"/>
      <c r="R6"/>
      <c r="S6"/>
      <c r="T6"/>
      <c r="U6"/>
    </row>
    <row r="7" spans="1:23" x14ac:dyDescent="0.25">
      <c r="A7"/>
      <c r="B7"/>
      <c r="C7"/>
      <c r="D7"/>
      <c r="E7"/>
      <c r="F7"/>
      <c r="G7"/>
      <c r="H7"/>
      <c r="I7"/>
      <c r="J7" s="10" t="s">
        <v>17</v>
      </c>
      <c r="K7" s="10">
        <v>12</v>
      </c>
      <c r="L7" s="10">
        <v>0</v>
      </c>
      <c r="M7" s="10">
        <v>0</v>
      </c>
      <c r="N7"/>
      <c r="O7" s="10">
        <v>12</v>
      </c>
      <c r="P7"/>
      <c r="Q7"/>
      <c r="R7"/>
      <c r="S7"/>
      <c r="T7"/>
      <c r="U7"/>
    </row>
    <row r="8" spans="1:23" x14ac:dyDescent="0.25">
      <c r="A8"/>
      <c r="B8"/>
      <c r="C8"/>
      <c r="D8"/>
      <c r="E8"/>
      <c r="F8"/>
      <c r="G8"/>
      <c r="H8"/>
      <c r="I8"/>
      <c r="J8" s="10" t="s">
        <v>18</v>
      </c>
      <c r="K8" s="10">
        <v>0</v>
      </c>
      <c r="L8" s="10">
        <v>0</v>
      </c>
      <c r="M8" s="10">
        <v>0</v>
      </c>
      <c r="N8"/>
      <c r="O8" s="10">
        <v>0</v>
      </c>
      <c r="P8"/>
      <c r="Q8"/>
      <c r="R8"/>
      <c r="S8"/>
      <c r="T8"/>
      <c r="U8"/>
    </row>
    <row r="9" spans="1:23" x14ac:dyDescent="0.25">
      <c r="A9"/>
      <c r="B9"/>
      <c r="C9"/>
      <c r="D9"/>
      <c r="E9"/>
      <c r="F9"/>
      <c r="G9"/>
      <c r="H9"/>
      <c r="I9"/>
      <c r="J9" s="10" t="s">
        <v>19</v>
      </c>
      <c r="K9" s="10">
        <v>0</v>
      </c>
      <c r="L9" s="10">
        <v>0</v>
      </c>
      <c r="M9" s="10">
        <v>0</v>
      </c>
      <c r="N9"/>
      <c r="O9" s="10">
        <v>0</v>
      </c>
      <c r="P9"/>
      <c r="Q9"/>
      <c r="R9"/>
      <c r="S9"/>
      <c r="T9"/>
      <c r="U9"/>
    </row>
    <row r="10" spans="1:23" x14ac:dyDescent="0.25">
      <c r="A10"/>
      <c r="B10"/>
      <c r="C10"/>
      <c r="D10"/>
      <c r="E10"/>
      <c r="F10"/>
      <c r="G10"/>
      <c r="H10"/>
      <c r="I10"/>
      <c r="J10" s="10" t="s">
        <v>20</v>
      </c>
      <c r="K10" s="10">
        <v>0</v>
      </c>
      <c r="L10" s="10">
        <v>0</v>
      </c>
      <c r="M10" s="10">
        <v>0</v>
      </c>
      <c r="N10"/>
      <c r="O10" s="10">
        <v>0</v>
      </c>
      <c r="P10"/>
      <c r="Q10"/>
      <c r="R10"/>
      <c r="S10"/>
      <c r="T10"/>
      <c r="U10"/>
    </row>
    <row r="11" spans="1:23" x14ac:dyDescent="0.25">
      <c r="A11"/>
      <c r="B11"/>
      <c r="C11"/>
      <c r="D11"/>
      <c r="E11"/>
      <c r="F11"/>
      <c r="G11"/>
      <c r="H11"/>
      <c r="I11"/>
      <c r="J11" s="10" t="s">
        <v>21</v>
      </c>
      <c r="K11" s="10">
        <v>0</v>
      </c>
      <c r="L11" s="10">
        <v>0</v>
      </c>
      <c r="M11" s="10">
        <v>0</v>
      </c>
      <c r="N11"/>
      <c r="O11" s="10">
        <v>0</v>
      </c>
      <c r="P11"/>
      <c r="Q11"/>
      <c r="R11"/>
      <c r="S11"/>
      <c r="T11"/>
      <c r="U11"/>
    </row>
    <row r="12" spans="1:23" x14ac:dyDescent="0.25">
      <c r="A12"/>
      <c r="B12"/>
      <c r="C12"/>
      <c r="D12"/>
      <c r="E12"/>
      <c r="F12"/>
      <c r="G12"/>
      <c r="H12"/>
      <c r="I12"/>
      <c r="J12" s="10" t="s">
        <v>22</v>
      </c>
      <c r="K12" s="10">
        <v>0</v>
      </c>
      <c r="L12" s="10">
        <v>0</v>
      </c>
      <c r="M12" s="10">
        <v>0</v>
      </c>
      <c r="N12"/>
      <c r="O12" s="10">
        <v>0</v>
      </c>
      <c r="P12"/>
      <c r="Q12"/>
      <c r="R12"/>
      <c r="S12"/>
      <c r="T12"/>
      <c r="U12"/>
    </row>
    <row r="13" spans="1:23" x14ac:dyDescent="0.25">
      <c r="A13"/>
      <c r="B13"/>
      <c r="C13"/>
      <c r="D13"/>
      <c r="E13"/>
      <c r="F13"/>
      <c r="G13"/>
      <c r="H13"/>
      <c r="I13"/>
      <c r="J13" s="10" t="s">
        <v>23</v>
      </c>
      <c r="K13" s="10">
        <v>0</v>
      </c>
      <c r="L13" s="10">
        <v>0</v>
      </c>
      <c r="M13" s="10">
        <v>0</v>
      </c>
      <c r="N13"/>
      <c r="O13" s="10">
        <v>0</v>
      </c>
      <c r="P13"/>
      <c r="Q13"/>
      <c r="R13"/>
      <c r="S13"/>
      <c r="T13"/>
      <c r="U13"/>
    </row>
    <row r="14" spans="1:23" x14ac:dyDescent="0.25">
      <c r="A14" s="10"/>
      <c r="B14"/>
      <c r="C14"/>
      <c r="D14"/>
      <c r="E14"/>
      <c r="F14"/>
      <c r="G14"/>
      <c r="H14"/>
      <c r="I14"/>
      <c r="J14" s="10"/>
      <c r="K14"/>
      <c r="L14"/>
      <c r="M14"/>
      <c r="N14"/>
      <c r="O14"/>
      <c r="P14"/>
      <c r="Q14"/>
      <c r="R14"/>
      <c r="S14"/>
      <c r="T14"/>
      <c r="U14"/>
    </row>
    <row r="15" spans="1:23" x14ac:dyDescent="0.25">
      <c r="A15" s="10"/>
      <c r="B15"/>
      <c r="C15"/>
      <c r="D15"/>
      <c r="E15"/>
      <c r="F15"/>
      <c r="G15"/>
      <c r="H15"/>
      <c r="I15"/>
      <c r="J15" s="10"/>
      <c r="K15"/>
      <c r="L15"/>
      <c r="M15"/>
      <c r="N15"/>
      <c r="O15"/>
      <c r="P15"/>
      <c r="Q15"/>
      <c r="R15"/>
      <c r="S15"/>
      <c r="T15"/>
      <c r="U15"/>
    </row>
    <row r="16" spans="1:23" x14ac:dyDescent="0.25">
      <c r="A16"/>
      <c r="B16"/>
      <c r="C16"/>
      <c r="D16"/>
      <c r="E16"/>
      <c r="F16"/>
      <c r="G16"/>
      <c r="H16"/>
      <c r="I16"/>
      <c r="J16" s="10"/>
      <c r="K16"/>
      <c r="L16"/>
      <c r="M16"/>
      <c r="N16"/>
      <c r="O16"/>
      <c r="P16"/>
      <c r="Q16"/>
      <c r="R16"/>
      <c r="S16"/>
      <c r="T16"/>
      <c r="U16"/>
    </row>
    <row r="17" spans="1:21" x14ac:dyDescent="0.25">
      <c r="A17"/>
      <c r="B17"/>
      <c r="C17"/>
      <c r="D17"/>
      <c r="E17"/>
      <c r="F17"/>
      <c r="G17"/>
      <c r="H17"/>
      <c r="I17"/>
      <c r="J17" s="10"/>
      <c r="K17"/>
      <c r="L17"/>
      <c r="M17"/>
      <c r="N17"/>
      <c r="O17"/>
      <c r="P17"/>
      <c r="Q17"/>
      <c r="R17"/>
      <c r="S17"/>
      <c r="T17"/>
      <c r="U17"/>
    </row>
    <row r="18" spans="1:21" x14ac:dyDescent="0.25">
      <c r="A18"/>
      <c r="B18"/>
      <c r="C18"/>
      <c r="D18"/>
      <c r="E18"/>
      <c r="F18"/>
      <c r="G18"/>
      <c r="H18"/>
      <c r="I18"/>
      <c r="J18" s="10"/>
      <c r="K18"/>
      <c r="L18"/>
      <c r="M18"/>
      <c r="N18"/>
      <c r="O18"/>
      <c r="P18"/>
      <c r="Q18"/>
      <c r="R18"/>
      <c r="S18"/>
      <c r="T18"/>
      <c r="U18"/>
    </row>
    <row r="19" spans="1:21" x14ac:dyDescent="0.25">
      <c r="A19"/>
      <c r="B19"/>
      <c r="C19"/>
      <c r="D19"/>
      <c r="E19"/>
      <c r="F19"/>
      <c r="G19"/>
      <c r="H19"/>
      <c r="I19"/>
      <c r="J19" s="10"/>
      <c r="K19"/>
      <c r="L19"/>
      <c r="M19"/>
      <c r="N19"/>
      <c r="O19"/>
      <c r="P19"/>
      <c r="Q19"/>
      <c r="R19"/>
      <c r="S19"/>
      <c r="T19"/>
      <c r="U19"/>
    </row>
    <row r="20" spans="1:21" x14ac:dyDescent="0.25">
      <c r="A20"/>
      <c r="B20"/>
      <c r="C20"/>
      <c r="D20"/>
      <c r="E20"/>
      <c r="F20"/>
      <c r="G20"/>
      <c r="H20"/>
      <c r="I20"/>
      <c r="J20" s="10"/>
      <c r="K20"/>
      <c r="L20"/>
      <c r="M20"/>
      <c r="N20"/>
      <c r="O20"/>
      <c r="P20"/>
      <c r="Q20"/>
      <c r="R20"/>
      <c r="S20"/>
      <c r="T20"/>
      <c r="U20"/>
    </row>
    <row r="21" spans="1:21" x14ac:dyDescent="0.25">
      <c r="A21"/>
      <c r="B21"/>
      <c r="C21"/>
      <c r="D21"/>
      <c r="E21"/>
      <c r="F21"/>
      <c r="G21"/>
      <c r="H21"/>
      <c r="I21"/>
      <c r="J21" s="10"/>
      <c r="K21"/>
      <c r="L21"/>
      <c r="M21"/>
      <c r="N21"/>
      <c r="O21"/>
      <c r="P21"/>
      <c r="Q21"/>
      <c r="R21"/>
      <c r="S21"/>
      <c r="T21"/>
      <c r="U21"/>
    </row>
    <row r="22" spans="1:21" x14ac:dyDescent="0.25">
      <c r="A22"/>
      <c r="B22"/>
      <c r="C22"/>
      <c r="D22"/>
      <c r="E22"/>
      <c r="F22"/>
      <c r="G22"/>
      <c r="H22"/>
      <c r="I22"/>
      <c r="J22" s="10"/>
      <c r="K22"/>
      <c r="L22"/>
      <c r="M22"/>
      <c r="N22"/>
      <c r="O22"/>
      <c r="P22"/>
      <c r="Q22"/>
      <c r="R22"/>
      <c r="S22"/>
      <c r="T22"/>
      <c r="U22"/>
    </row>
    <row r="23" spans="1:21" x14ac:dyDescent="0.25">
      <c r="A23"/>
      <c r="B23"/>
      <c r="C23"/>
      <c r="D23"/>
      <c r="E23"/>
      <c r="F23"/>
      <c r="G23"/>
      <c r="H23"/>
      <c r="I23"/>
      <c r="J23" s="10"/>
      <c r="K23"/>
      <c r="L23"/>
      <c r="M23"/>
      <c r="N23"/>
      <c r="O23"/>
      <c r="P23"/>
      <c r="Q23"/>
      <c r="R23"/>
      <c r="S23"/>
      <c r="T23"/>
      <c r="U23"/>
    </row>
    <row r="24" spans="1:21" x14ac:dyDescent="0.25">
      <c r="A24"/>
      <c r="B24"/>
      <c r="C24"/>
      <c r="D24"/>
      <c r="E24"/>
      <c r="F24"/>
      <c r="G24"/>
      <c r="H24"/>
      <c r="I24"/>
      <c r="J24" s="10"/>
      <c r="K24"/>
      <c r="L24"/>
      <c r="M24"/>
      <c r="N24"/>
      <c r="O24"/>
      <c r="P24"/>
      <c r="Q24"/>
      <c r="R24"/>
      <c r="S24"/>
      <c r="T24"/>
      <c r="U24"/>
    </row>
    <row r="25" spans="1:21" x14ac:dyDescent="0.25">
      <c r="A25"/>
      <c r="B25"/>
      <c r="C25"/>
      <c r="D25"/>
      <c r="E25"/>
      <c r="F25"/>
      <c r="G25"/>
      <c r="H25"/>
      <c r="I25"/>
      <c r="J25" s="10"/>
      <c r="K25"/>
      <c r="L25"/>
      <c r="M25"/>
      <c r="N25"/>
      <c r="O25"/>
      <c r="P25"/>
      <c r="Q25"/>
      <c r="R25"/>
      <c r="S25"/>
      <c r="T25"/>
      <c r="U25"/>
    </row>
    <row r="26" spans="1:21" x14ac:dyDescent="0.25">
      <c r="A26"/>
      <c r="B26"/>
      <c r="C26"/>
      <c r="D26"/>
      <c r="E26"/>
      <c r="F26"/>
      <c r="G26"/>
      <c r="H26"/>
      <c r="I26"/>
      <c r="J26" s="10"/>
      <c r="K26"/>
      <c r="L26"/>
      <c r="M26"/>
      <c r="N26"/>
      <c r="O26"/>
      <c r="P26"/>
      <c r="Q26"/>
      <c r="R26"/>
      <c r="S26"/>
      <c r="T26"/>
      <c r="U26"/>
    </row>
    <row r="27" spans="1:21" x14ac:dyDescent="0.25">
      <c r="A27"/>
      <c r="B27"/>
      <c r="C27"/>
      <c r="D27"/>
      <c r="E27"/>
      <c r="F27"/>
      <c r="G27"/>
      <c r="H27"/>
      <c r="I27"/>
      <c r="J27" s="10"/>
      <c r="K27"/>
      <c r="L27"/>
      <c r="M27"/>
      <c r="N27"/>
      <c r="O27"/>
      <c r="P27"/>
      <c r="Q27"/>
      <c r="R27"/>
      <c r="S27"/>
      <c r="T27"/>
      <c r="U27"/>
    </row>
    <row r="28" spans="1:21" x14ac:dyDescent="0.25">
      <c r="A28"/>
      <c r="B28"/>
      <c r="C28"/>
      <c r="D28"/>
      <c r="E28"/>
      <c r="F28"/>
      <c r="G28"/>
      <c r="H28"/>
      <c r="I28"/>
      <c r="J28" s="10"/>
      <c r="K28"/>
      <c r="L28"/>
      <c r="M28"/>
      <c r="N28"/>
      <c r="O28"/>
      <c r="P28"/>
      <c r="Q28"/>
      <c r="R28"/>
      <c r="S28"/>
      <c r="T28"/>
      <c r="U28"/>
    </row>
    <row r="29" spans="1:21" x14ac:dyDescent="0.25">
      <c r="A29"/>
      <c r="B29"/>
      <c r="C29"/>
      <c r="D29"/>
      <c r="E29"/>
      <c r="F29"/>
      <c r="G29"/>
      <c r="H29"/>
      <c r="I29"/>
      <c r="J29" s="10"/>
      <c r="K29"/>
      <c r="L29"/>
      <c r="M29"/>
      <c r="N29"/>
      <c r="O29"/>
      <c r="P29"/>
      <c r="Q29"/>
      <c r="R29"/>
      <c r="S29"/>
      <c r="T29"/>
      <c r="U29"/>
    </row>
    <row r="30" spans="1:21" x14ac:dyDescent="0.25">
      <c r="A30"/>
      <c r="B30"/>
      <c r="C30"/>
      <c r="D30"/>
      <c r="E30"/>
      <c r="F30"/>
      <c r="G30"/>
      <c r="H30"/>
      <c r="I30"/>
      <c r="J30" s="10"/>
      <c r="K30"/>
      <c r="L30"/>
      <c r="M30"/>
      <c r="N30"/>
      <c r="O30"/>
      <c r="P30"/>
      <c r="Q30"/>
      <c r="R30"/>
      <c r="S30"/>
      <c r="T30"/>
      <c r="U30"/>
    </row>
    <row r="31" spans="1:21" x14ac:dyDescent="0.25">
      <c r="A31"/>
      <c r="B31"/>
      <c r="C31"/>
      <c r="D31"/>
      <c r="E31"/>
      <c r="F31"/>
      <c r="G31"/>
      <c r="H31"/>
      <c r="I31"/>
      <c r="J31" s="10"/>
      <c r="K31"/>
      <c r="L31"/>
      <c r="M31"/>
      <c r="N31"/>
      <c r="O31"/>
      <c r="P31"/>
      <c r="Q31"/>
      <c r="R31"/>
      <c r="S31"/>
      <c r="T31"/>
      <c r="U31"/>
    </row>
    <row r="32" spans="1:21" x14ac:dyDescent="0.25">
      <c r="A32"/>
      <c r="B32"/>
      <c r="C32"/>
      <c r="D32"/>
      <c r="E32"/>
      <c r="F32"/>
      <c r="G32"/>
      <c r="H32"/>
      <c r="I32"/>
      <c r="J32" s="10"/>
      <c r="K32"/>
      <c r="L32"/>
      <c r="M32"/>
      <c r="N32"/>
      <c r="O32"/>
      <c r="P32"/>
      <c r="Q32"/>
      <c r="R32"/>
      <c r="S32"/>
      <c r="T32"/>
      <c r="U32"/>
    </row>
    <row r="33" spans="1:21" x14ac:dyDescent="0.25">
      <c r="A33"/>
      <c r="B33"/>
      <c r="C33"/>
      <c r="D33"/>
      <c r="E33"/>
      <c r="F33"/>
      <c r="G33"/>
      <c r="H33"/>
      <c r="I33"/>
      <c r="J33" s="10"/>
      <c r="K33"/>
      <c r="L33"/>
      <c r="M33"/>
      <c r="N33"/>
      <c r="O33"/>
      <c r="P33"/>
      <c r="Q33"/>
      <c r="R33"/>
      <c r="S33"/>
      <c r="T33"/>
      <c r="U33"/>
    </row>
    <row r="34" spans="1:21" x14ac:dyDescent="0.25">
      <c r="A34"/>
      <c r="B34"/>
      <c r="C34"/>
      <c r="D34"/>
      <c r="E34"/>
      <c r="F34"/>
      <c r="G34"/>
      <c r="H34"/>
      <c r="I34"/>
      <c r="J34" s="10"/>
      <c r="K34"/>
      <c r="L34"/>
      <c r="M34"/>
      <c r="N34"/>
      <c r="O34"/>
      <c r="P34"/>
      <c r="Q34"/>
      <c r="R34"/>
      <c r="S34"/>
      <c r="T34"/>
      <c r="U34"/>
    </row>
    <row r="35" spans="1:21" x14ac:dyDescent="0.25">
      <c r="A35"/>
      <c r="B35"/>
      <c r="C35"/>
      <c r="D35"/>
      <c r="E35"/>
      <c r="F35"/>
      <c r="G35"/>
      <c r="H35"/>
      <c r="I35"/>
      <c r="J35" s="10"/>
      <c r="K35"/>
      <c r="L35"/>
      <c r="M35"/>
      <c r="N35"/>
      <c r="O35"/>
      <c r="P35"/>
      <c r="Q35"/>
      <c r="R35"/>
      <c r="S35"/>
      <c r="T35"/>
      <c r="U35"/>
    </row>
    <row r="36" spans="1:21" x14ac:dyDescent="0.25">
      <c r="A36"/>
      <c r="B36"/>
      <c r="C36"/>
      <c r="D36"/>
      <c r="E36"/>
      <c r="F36"/>
      <c r="G36"/>
      <c r="H36"/>
      <c r="I36"/>
      <c r="J36" s="10"/>
      <c r="K36"/>
      <c r="L36"/>
      <c r="M36"/>
      <c r="N36"/>
      <c r="O36"/>
      <c r="P36"/>
      <c r="Q36"/>
      <c r="R36"/>
      <c r="S36"/>
      <c r="T36"/>
      <c r="U36"/>
    </row>
    <row r="37" spans="1:21" x14ac:dyDescent="0.25">
      <c r="A37"/>
      <c r="B37"/>
      <c r="C37"/>
      <c r="D37"/>
      <c r="E37"/>
      <c r="F37"/>
      <c r="G37"/>
      <c r="H37"/>
      <c r="I37"/>
      <c r="J37" s="10"/>
      <c r="K37"/>
      <c r="L37"/>
      <c r="M37"/>
      <c r="N37"/>
      <c r="O37"/>
      <c r="P37"/>
      <c r="Q37"/>
      <c r="R37"/>
      <c r="S37"/>
      <c r="T37"/>
      <c r="U37"/>
    </row>
    <row r="38" spans="1:21" x14ac:dyDescent="0.25">
      <c r="A38"/>
      <c r="B38"/>
      <c r="C38"/>
      <c r="D38"/>
      <c r="E38"/>
      <c r="F38"/>
      <c r="G38"/>
      <c r="H38"/>
      <c r="I38"/>
      <c r="J38" s="10"/>
      <c r="K38"/>
      <c r="L38"/>
      <c r="M38"/>
      <c r="N38"/>
      <c r="O38"/>
      <c r="P38"/>
      <c r="Q38"/>
      <c r="R38"/>
      <c r="S38"/>
      <c r="T38"/>
      <c r="U38"/>
    </row>
    <row r="39" spans="1:21" x14ac:dyDescent="0.25">
      <c r="A39"/>
      <c r="B39"/>
      <c r="C39"/>
      <c r="D39"/>
      <c r="E39"/>
      <c r="F39"/>
      <c r="G39"/>
      <c r="H39"/>
      <c r="I39"/>
      <c r="J39" s="10"/>
      <c r="K39"/>
      <c r="L39"/>
      <c r="M39"/>
      <c r="N39"/>
      <c r="O39"/>
      <c r="P39"/>
      <c r="Q39"/>
      <c r="R39"/>
      <c r="S39"/>
      <c r="T39"/>
      <c r="U39"/>
    </row>
    <row r="40" spans="1:21" x14ac:dyDescent="0.25">
      <c r="A40"/>
      <c r="B40"/>
      <c r="C40"/>
      <c r="D40"/>
      <c r="E40"/>
      <c r="F40"/>
      <c r="G40"/>
      <c r="H40"/>
      <c r="I40"/>
      <c r="J40" s="10"/>
      <c r="K40"/>
      <c r="L40"/>
      <c r="M40"/>
      <c r="N40"/>
      <c r="O40"/>
      <c r="P40"/>
      <c r="Q40"/>
      <c r="R40"/>
      <c r="S40"/>
      <c r="T40"/>
      <c r="U40"/>
    </row>
    <row r="41" spans="1:21" x14ac:dyDescent="0.25">
      <c r="A41"/>
      <c r="B41"/>
      <c r="C41"/>
      <c r="D41"/>
      <c r="E41"/>
      <c r="F41"/>
      <c r="G41"/>
      <c r="H41"/>
      <c r="I41"/>
      <c r="J41" s="10"/>
      <c r="K41"/>
      <c r="L41"/>
      <c r="M41"/>
      <c r="N41"/>
      <c r="O41"/>
      <c r="P41"/>
      <c r="Q41"/>
      <c r="R41"/>
      <c r="S41"/>
      <c r="T41"/>
      <c r="U41"/>
    </row>
    <row r="42" spans="1:21" x14ac:dyDescent="0.25">
      <c r="A42"/>
      <c r="B42"/>
      <c r="C42"/>
      <c r="D42"/>
      <c r="E42"/>
      <c r="F42"/>
      <c r="G42"/>
      <c r="H42"/>
      <c r="I42"/>
      <c r="J42" s="10"/>
      <c r="K42"/>
      <c r="L42"/>
      <c r="M42"/>
      <c r="N42"/>
      <c r="O42"/>
      <c r="P42"/>
      <c r="Q42"/>
      <c r="R42"/>
      <c r="S42"/>
      <c r="T42"/>
      <c r="U42"/>
    </row>
    <row r="43" spans="1:21" x14ac:dyDescent="0.25">
      <c r="A43"/>
      <c r="B43"/>
      <c r="C43"/>
      <c r="D43"/>
      <c r="E43"/>
      <c r="F43"/>
      <c r="G43"/>
      <c r="H43"/>
      <c r="I43"/>
      <c r="J43" s="10"/>
      <c r="K43"/>
      <c r="L43"/>
      <c r="M43"/>
      <c r="N43"/>
      <c r="O43"/>
      <c r="P43"/>
      <c r="Q43"/>
      <c r="R43"/>
      <c r="S43"/>
      <c r="T43"/>
      <c r="U43"/>
    </row>
    <row r="44" spans="1:21" x14ac:dyDescent="0.25">
      <c r="A44"/>
      <c r="B44"/>
      <c r="C44"/>
      <c r="D44"/>
      <c r="E44"/>
      <c r="F44"/>
      <c r="G44"/>
      <c r="H44"/>
      <c r="I44"/>
      <c r="J44" s="10"/>
      <c r="K44"/>
      <c r="L44"/>
      <c r="M44"/>
      <c r="N44"/>
      <c r="O44"/>
      <c r="P44"/>
      <c r="Q44"/>
      <c r="R44"/>
      <c r="S44"/>
      <c r="T44"/>
      <c r="U44"/>
    </row>
    <row r="45" spans="1:21" x14ac:dyDescent="0.25">
      <c r="A45"/>
      <c r="B45"/>
      <c r="C45"/>
      <c r="D45"/>
      <c r="E45"/>
      <c r="F45"/>
      <c r="G45"/>
      <c r="H45"/>
      <c r="I45"/>
      <c r="J45" s="10"/>
      <c r="K45"/>
      <c r="L45"/>
      <c r="M45"/>
      <c r="N45"/>
      <c r="O45"/>
      <c r="P45"/>
      <c r="Q45"/>
      <c r="R45"/>
      <c r="S45"/>
      <c r="T45"/>
      <c r="U45"/>
    </row>
    <row r="46" spans="1:21" x14ac:dyDescent="0.25">
      <c r="A46"/>
      <c r="B46"/>
      <c r="C46"/>
      <c r="D46"/>
      <c r="E46"/>
      <c r="F46"/>
      <c r="G46"/>
      <c r="H46"/>
      <c r="I46"/>
      <c r="J46" s="10"/>
      <c r="K46"/>
      <c r="L46"/>
      <c r="M46"/>
      <c r="N46"/>
      <c r="O46"/>
      <c r="P46"/>
      <c r="Q46"/>
      <c r="R46"/>
      <c r="S46"/>
      <c r="T46"/>
      <c r="U46"/>
    </row>
    <row r="47" spans="1:21" x14ac:dyDescent="0.25">
      <c r="A47"/>
      <c r="B47"/>
      <c r="C47"/>
      <c r="D47"/>
      <c r="E47"/>
      <c r="F47"/>
      <c r="G47"/>
      <c r="H47"/>
      <c r="I47"/>
      <c r="J47" s="10"/>
      <c r="K47"/>
      <c r="L47"/>
      <c r="M47"/>
      <c r="N47"/>
      <c r="O47"/>
      <c r="P47"/>
      <c r="Q47"/>
      <c r="R47"/>
      <c r="S47"/>
      <c r="T47"/>
      <c r="U47"/>
    </row>
    <row r="48" spans="1:21" x14ac:dyDescent="0.25">
      <c r="A48"/>
      <c r="B48"/>
      <c r="C48"/>
      <c r="D48"/>
      <c r="E48"/>
      <c r="F48"/>
      <c r="G48"/>
      <c r="H48"/>
      <c r="I48"/>
      <c r="J48" s="10"/>
      <c r="K48"/>
      <c r="L48"/>
      <c r="M48"/>
      <c r="N48"/>
      <c r="O48"/>
      <c r="P48"/>
      <c r="Q48"/>
      <c r="R48"/>
      <c r="S48"/>
      <c r="T48"/>
      <c r="U48"/>
    </row>
    <row r="49" spans="1:21" x14ac:dyDescent="0.25">
      <c r="A49"/>
      <c r="B49"/>
      <c r="C49"/>
      <c r="D49"/>
      <c r="E49"/>
      <c r="F49"/>
      <c r="G49"/>
      <c r="H49"/>
      <c r="I49"/>
      <c r="J49" s="10"/>
      <c r="K49"/>
      <c r="L49"/>
      <c r="M49"/>
      <c r="N49"/>
      <c r="O49"/>
      <c r="P49"/>
      <c r="Q49"/>
      <c r="R49"/>
      <c r="S49"/>
      <c r="T49"/>
      <c r="U49"/>
    </row>
    <row r="50" spans="1:21" x14ac:dyDescent="0.25">
      <c r="A50"/>
      <c r="B50"/>
      <c r="C50"/>
      <c r="D50"/>
      <c r="E50"/>
      <c r="F50"/>
      <c r="G50"/>
      <c r="H50"/>
      <c r="I50"/>
      <c r="J50" s="10"/>
      <c r="K50"/>
      <c r="L50"/>
      <c r="M50"/>
      <c r="N50"/>
      <c r="O50"/>
      <c r="P50"/>
      <c r="Q50"/>
      <c r="R50"/>
      <c r="S50"/>
      <c r="T50"/>
      <c r="U50"/>
    </row>
    <row r="51" spans="1:21" x14ac:dyDescent="0.25">
      <c r="A51" s="31"/>
      <c r="B51" s="31"/>
      <c r="C51" s="31"/>
      <c r="D51" s="31"/>
      <c r="E51" s="31"/>
      <c r="F51" s="31"/>
      <c r="G51" s="31"/>
      <c r="H51" s="31"/>
      <c r="I51" s="31"/>
      <c r="J51" s="32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</row>
    <row r="52" spans="1:21" x14ac:dyDescent="0.25">
      <c r="A52" s="31"/>
      <c r="B52" s="31"/>
      <c r="C52" s="31"/>
      <c r="D52" s="31"/>
      <c r="E52" s="31"/>
      <c r="F52" s="31"/>
      <c r="G52" s="31"/>
      <c r="H52" s="31"/>
      <c r="I52" s="31"/>
      <c r="J52" s="32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</row>
  </sheetData>
  <pageMargins left="0.511811024" right="0.511811024" top="0.78740157499999996" bottom="0.78740157499999996" header="0.31496062000000002" footer="0.31496062000000002"/>
  <drawing r:id="rId3"/>
  <tableParts count="1">
    <tablePart r:id="rId4"/>
  </tableParts>
  <extLst>
    <ext xmlns:x14="http://schemas.microsoft.com/office/spreadsheetml/2009/9/main" uri="{A8765BA9-456A-4dab-B4F3-ACF838C121DE}">
      <x14:slicerList>
        <x14:slicer r:id="rId5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Mural</vt:lpstr>
      <vt:lpstr>Tarefas</vt:lpstr>
      <vt:lpstr>Em Andamento</vt:lpstr>
      <vt:lpstr>Concluídas</vt:lpstr>
      <vt:lpstr>Gráfico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</dc:creator>
  <cp:lastModifiedBy>jean</cp:lastModifiedBy>
  <dcterms:created xsi:type="dcterms:W3CDTF">2025-04-30T12:59:52Z</dcterms:created>
  <dcterms:modified xsi:type="dcterms:W3CDTF">2025-05-20T14:39:44Z</dcterms:modified>
</cp:coreProperties>
</file>